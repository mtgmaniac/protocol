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my Changes" sheetId="1" state="visible" r:id="rId3"/>
    <sheet name="Archetypes" sheetId="2" state="visible" r:id="rId4"/>
    <sheet name="Signal Purge Inverted" sheetId="3" state="visible" r:id="rId5"/>
    <sheet name="Battle 5+ Trait Pool" sheetId="4" state="visible" r:id="rId6"/>
  </sheets>
  <definedNames>
    <definedName function="false" hidden="true" localSheetId="0" name="_xlnm._FilterDatabase" vbProcedure="false">'Enemy Changes'!$A$4:$V$42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<sst xmlns="http://schemas.openxmlformats.org/spreadsheetml/2006/main" count="358" uniqueCount="234">
  <si>
    <t xml:space="preserve">Unit variety draft: current vs proposed, one row per unit</t>
  </si>
  <si>
    <t xml:space="preserve">Grey columns are today; green columns are the proposal. Damage per band = the ability's dmg on each of its 5 roll bands (1 = lowest). Proposal = archetype multipliers on HP and on each band's damage, rounded. Shields, heals, burn and debuffs are unchanged. Avg/roll = expected damage per turn across the d20 (area hits count x3). Overrides in yellow win if filled. Inverted units (Signal Purge) are shown with today's band order; see the Inverted tab.</t>
  </si>
  <si>
    <t xml:space="preserve">Operation</t>
  </si>
  <si>
    <t xml:space="preserve">Unit</t>
  </si>
  <si>
    <t xml:space="preserve">Archetype</t>
  </si>
  <si>
    <t xml:space="preserve">Why</t>
  </si>
  <si>
    <t xml:space="preserve">HP now</t>
  </si>
  <si>
    <t xml:space="preserve">HP new</t>
  </si>
  <si>
    <t xml:space="preserve">B1 now</t>
  </si>
  <si>
    <t xml:space="preserve">B2 now</t>
  </si>
  <si>
    <t xml:space="preserve">B3 now</t>
  </si>
  <si>
    <t xml:space="preserve">B4 now</t>
  </si>
  <si>
    <t xml:space="preserve">B5 now</t>
  </si>
  <si>
    <t xml:space="preserve">B1 new</t>
  </si>
  <si>
    <t xml:space="preserve">B2 new</t>
  </si>
  <si>
    <t xml:space="preserve">B3 new</t>
  </si>
  <si>
    <t xml:space="preserve">B4 new</t>
  </si>
  <si>
    <t xml:space="preserve">B5 new</t>
  </si>
  <si>
    <t xml:space="preserve">Avg/roll now</t>
  </si>
  <si>
    <t xml:space="preserve">Avg/roll new</t>
  </si>
  <si>
    <t xml:space="preserve">Top hit now</t>
  </si>
  <si>
    <t xml:space="preserve">Top hit new</t>
  </si>
  <si>
    <t xml:space="preserve">Override HP</t>
  </si>
  <si>
    <t xml:space="preserve">Override damage / notes</t>
  </si>
  <si>
    <t xml:space="preserve">Facility</t>
  </si>
  <si>
    <t xml:space="preserve">Scrap Drone</t>
  </si>
  <si>
    <t xml:space="preserve">Glass cannon</t>
  </si>
  <si>
    <t xml:space="preserve">Fodder that burns hard; the drone you kill first.</t>
  </si>
  <si>
    <t xml:space="preserve">Rust Drone</t>
  </si>
  <si>
    <t xml:space="preserve">Tank</t>
  </si>
  <si>
    <t xml:space="preserve">Sturdy fodder that shrugs off hits; contrast with Scrap.</t>
  </si>
  <si>
    <t xml:space="preserve">Static Skimmer</t>
  </si>
  <si>
    <t xml:space="preserve">Disruptor</t>
  </si>
  <si>
    <t xml:space="preserve">Chip damage plus roll penalties.</t>
  </si>
  <si>
    <t xml:space="preserve">Patrol Enforcer</t>
  </si>
  <si>
    <t xml:space="preserve">Bruiser</t>
  </si>
  <si>
    <t xml:space="preserve">Steady frontline elite.</t>
  </si>
  <si>
    <t xml:space="preserve">Volt Enforcer</t>
  </si>
  <si>
    <t xml:space="preserve">Artillery</t>
  </si>
  <si>
    <t xml:space="preserve">Charges up to a big top hit; Volatile on death.</t>
  </si>
  <si>
    <t xml:space="preserve">Shield Enforcer</t>
  </si>
  <si>
    <t xml:space="preserve">Shields allies; low damage.</t>
  </si>
  <si>
    <t xml:space="preserve">Heavy Warden</t>
  </si>
  <si>
    <t xml:space="preserve">Big body that still hits; the mid-run wall.</t>
  </si>
  <si>
    <t xml:space="preserve">Scrapmaster</t>
  </si>
  <si>
    <t xml:space="preserve">Boss (unchanged)</t>
  </si>
  <si>
    <t xml:space="preserve">Hive</t>
  </si>
  <si>
    <t xml:space="preserve">Skitterling</t>
  </si>
  <si>
    <t xml:space="preserve">Fast, fragile biter.</t>
  </si>
  <si>
    <t xml:space="preserve">Bloodmite</t>
  </si>
  <si>
    <t xml:space="preserve">Swarm</t>
  </si>
  <si>
    <t xml:space="preserve">Weak alone; comes in numbers and from summons.</t>
  </si>
  <si>
    <t xml:space="preserve">Spine Stalker</t>
  </si>
  <si>
    <t xml:space="preserve">Elite assassin: lowest HP of the elites, biggest spikes.</t>
  </si>
  <si>
    <t xml:space="preserve">Carapace Beetle</t>
  </si>
  <si>
    <t xml:space="preserve">Armored support.</t>
  </si>
  <si>
    <t xml:space="preserve">Broodwarden</t>
  </si>
  <si>
    <t xml:space="preserve">Heavy hitter that also summons (Hive).</t>
  </si>
  <si>
    <t xml:space="preserve">Caustic Spewer</t>
  </si>
  <si>
    <t xml:space="preserve">Burn and acid; damage comes over time.</t>
  </si>
  <si>
    <t xml:space="preserve">Hive Matriarch</t>
  </si>
  <si>
    <t xml:space="preserve">Veil</t>
  </si>
  <si>
    <t xml:space="preserve">Shard Drone</t>
  </si>
  <si>
    <t xml:space="preserve">Sturdy fodder.</t>
  </si>
  <si>
    <t xml:space="preserve">Prism Charger</t>
  </si>
  <si>
    <t xml:space="preserve">Fragile, hits hard.</t>
  </si>
  <si>
    <t xml:space="preserve">Phaseblade</t>
  </si>
  <si>
    <t xml:space="preserve">Cloaked ambusher; already the deadliest Veil roll.</t>
  </si>
  <si>
    <t xml:space="preserve">Aegis Anchor</t>
  </si>
  <si>
    <t xml:space="preserve">Shield wall.</t>
  </si>
  <si>
    <t xml:space="preserve">Relay Herald</t>
  </si>
  <si>
    <t xml:space="preserve">Jams and penalties.</t>
  </si>
  <si>
    <t xml:space="preserve">Resonance Warden</t>
  </si>
  <si>
    <t xml:space="preserve">Durable and steady.</t>
  </si>
  <si>
    <t xml:space="preserve">Stormweaver</t>
  </si>
  <si>
    <t xml:space="preserve">Builds to a big storm on high rolls.</t>
  </si>
  <si>
    <t xml:space="preserve">Veil Overseer</t>
  </si>
  <si>
    <t xml:space="preserve">Signal Purge</t>
  </si>
  <si>
    <t xml:space="preserve">Signal Wisp (INVERTED)</t>
  </si>
  <si>
    <t xml:space="preserve">Many, weak; INVERTED (see tab).</t>
  </si>
  <si>
    <t xml:space="preserve">Circuit Acolyte (INVERTED)</t>
  </si>
  <si>
    <t xml:space="preserve">INVERTED zealot: deadliest on low rolls.</t>
  </si>
  <si>
    <t xml:space="preserve">False Image</t>
  </si>
  <si>
    <t xml:space="preserve">Cloaked, fragile, hits hard.</t>
  </si>
  <si>
    <t xml:space="preserve">Cipher Scribe</t>
  </si>
  <si>
    <t xml:space="preserve">The only Signal Purge summoner.</t>
  </si>
  <si>
    <t xml:space="preserve">Oath Binder</t>
  </si>
  <si>
    <t xml:space="preserve">Durable debuffer.</t>
  </si>
  <si>
    <t xml:space="preserve">Ash Channeler (INVERTED)</t>
  </si>
  <si>
    <t xml:space="preserve">INVERTED: its big burn lands on low rolls.</t>
  </si>
  <si>
    <t xml:space="preserve">Signal Hierarch</t>
  </si>
  <si>
    <t xml:space="preserve">Mantle Hunt</t>
  </si>
  <si>
    <t xml:space="preserve">Pumice Climber</t>
  </si>
  <si>
    <t xml:space="preserve">Fragile pack opener.</t>
  </si>
  <si>
    <t xml:space="preserve">Obsidian Hound</t>
  </si>
  <si>
    <t xml:space="preserve">Pack hunter. Needs its own ability set to differ from Slag Hound.</t>
  </si>
  <si>
    <t xml:space="preserve">Slag Hound</t>
  </si>
  <si>
    <t xml:space="preserve">Smaller, faster hound. Needs its own ability set (shares with Obsidian today).</t>
  </si>
  <si>
    <t xml:space="preserve">Geode Panther</t>
  </si>
  <si>
    <t xml:space="preserve">Ambush predator: starts cloaked, hits hardest.</t>
  </si>
  <si>
    <t xml:space="preserve">Cinder Raptor</t>
  </si>
  <si>
    <t xml:space="preserve">Steady pack elite.</t>
  </si>
  <si>
    <t xml:space="preserve">Basalt Ape</t>
  </si>
  <si>
    <t xml:space="preserve">Accrete wall.</t>
  </si>
  <si>
    <t xml:space="preserve">Magma Drake</t>
  </si>
  <si>
    <t xml:space="preserve">Builds heat, then erupts.</t>
  </si>
  <si>
    <t xml:space="preserve">Mantle Tyrant</t>
  </si>
  <si>
    <t xml:space="preserve">Operation totals (non-boss units, simple averages)</t>
  </si>
  <si>
    <t xml:space="preserve">Avg HP now</t>
  </si>
  <si>
    <t xml:space="preserve">Avg HP new</t>
  </si>
  <si>
    <t xml:space="preserve">Avg dmg/roll now</t>
  </si>
  <si>
    <t xml:space="preserve">Avg dmg/roll new</t>
  </si>
  <si>
    <t xml:space="preserve">Archetypes</t>
  </si>
  <si>
    <t xml:space="preserve">What it means in a fight</t>
  </si>
  <si>
    <t xml:space="preserve">HP x</t>
  </si>
  <si>
    <t xml:space="preserve">Band 1 dmg x</t>
  </si>
  <si>
    <t xml:space="preserve">Band 2 dmg x</t>
  </si>
  <si>
    <t xml:space="preserve">Band 3 dmg x</t>
  </si>
  <si>
    <t xml:space="preserve">Band 4 dmg x</t>
  </si>
  <si>
    <t xml:space="preserve">Band 5 dmg x</t>
  </si>
  <si>
    <t xml:space="preserve">Your changes</t>
  </si>
  <si>
    <t xml:space="preserve">Low HP, hits hard, hardest at the top. Kill it first or it kills you.</t>
  </si>
  <si>
    <t xml:space="preserve">Weak on most rolls, but one huge top move. Watch its die.</t>
  </si>
  <si>
    <t xml:space="preserve">Average HP, steady solid damage on every roll. The baseline threat.</t>
  </si>
  <si>
    <t xml:space="preserve">Lots of HP, low damage. Protects others; not urgent to kill.</t>
  </si>
  <si>
    <t xml:space="preserve">Low damage; its value is debuffs (roll penalties, jam, burn). Kill it to free your dice.</t>
  </si>
  <si>
    <t xml:space="preserve">Weak alone, dangerous in numbers.</t>
  </si>
  <si>
    <t xml:space="preserve">Bosses are tuned separately; left as is.</t>
  </si>
  <si>
    <t xml:space="preserve">Every operation gets a mix, so an encounter like 'elite, fodder, fodder' always has a clear first target.</t>
  </si>
  <si>
    <t xml:space="preserve">Signal Purge: INVERTED units (low rolls are their best rolls)</t>
  </si>
  <si>
    <t xml:space="preserve">Rule</t>
  </si>
  <si>
    <t xml:space="preserve">An INVERTED unit's abilities run in reverse: its strongest move sits on the lowest band and its weakest on the 20. Done in data by reordering the kit, so combat code barely changes.</t>
  </si>
  <si>
    <t xml:space="preserve">Most player dice control pushes enemy dice down (freeze, Deep Freeze, roll penalties). Against inverted units that helps them, so you have to read each enemy instead of autopiloting.</t>
  </si>
  <si>
    <t xml:space="preserve">Which units</t>
  </si>
  <si>
    <t xml:space="preserve">Signal Wisp (teaches it from battle 1, since 3 Wisps open the operation), Circuit Acolyte (elite), Ash Channeler (elite). Oath Binder, False Image, Cipher Scribe and the boss stay normal, so mixed fights force a choice.</t>
  </si>
  <si>
    <t xml:space="preserve">Roll bonus / penalty</t>
  </si>
  <si>
    <t xml:space="preserve">Stays literal: -2 roll is still -2. On an inverted unit that helps it. That's the point; the UI must make it obvious.</t>
  </si>
  <si>
    <t xml:space="preserve">Summons</t>
  </si>
  <si>
    <t xml:space="preserve">Recommended: remove the planned 25% band-1 Wisp call from every Signal Purge unit except Cipher Scribe. On inverted units band 1 is now the best move, so a summon there would stack on top of it. Hive owns summons as an identity; Signal Purge owns inversion.</t>
  </si>
  <si>
    <t xml:space="preserve">UI</t>
  </si>
  <si>
    <t xml:space="preserve">An INVERTED tag on the card (it reads with the trait/title line), the band strip drawn high-to-low, and a one-time primer the first time one appears.</t>
  </si>
  <si>
    <t xml:space="preserve">Conflict</t>
  </si>
  <si>
    <t xml:space="preserve">Circuit Acolyte's Zealous trait raises the lowest enemy die by 2, which now hurts inverted allies. Fine as anti-synergy, or drop it, since fixed enemy traits are being replaced by the battle-5 pool.</t>
  </si>
  <si>
    <t xml:space="preserve">Boss</t>
  </si>
  <si>
    <t xml:space="preserve">Signal Hierarch's ROOT ACCESS rewrites YOUR highest die to 3, so it's unaffected. Optional later: a boss rule that helps inverted followers.</t>
  </si>
  <si>
    <t xml:space="preserve">Inverted kits: today's band order vs inverted</t>
  </si>
  <si>
    <t xml:space="preserve">Band</t>
  </si>
  <si>
    <t xml:space="preserve">Range</t>
  </si>
  <si>
    <t xml:space="preserve">Today</t>
  </si>
  <si>
    <t xml:space="preserve">Inverted (same ranges, abilities flipped)</t>
  </si>
  <si>
    <t xml:space="preserve">Your notes</t>
  </si>
  <si>
    <t xml:space="preserve">Signal Wisp</t>
  </si>
  <si>
    <t xml:space="preserve">1-4</t>
  </si>
  <si>
    <t xml:space="preserve">Static Hiss: -1 roll 1 turn</t>
  </si>
  <si>
    <t xml:space="preserve">Power Theft: 11 damage, 2 Protocol drain</t>
  </si>
  <si>
    <t xml:space="preserve">5-8</t>
  </si>
  <si>
    <t xml:space="preserve">Spark Lash: 6 damage, -1 roll 1 turn</t>
  </si>
  <si>
    <t xml:space="preserve">Signal Rot: 10 damage, -2 roll 1 turn</t>
  </si>
  <si>
    <t xml:space="preserve">9-12</t>
  </si>
  <si>
    <t xml:space="preserve">Scorching Arc: 8 damage, 1 burn 1 turn</t>
  </si>
  <si>
    <t xml:space="preserve">13-19</t>
  </si>
  <si>
    <t xml:space="preserve">20</t>
  </si>
  <si>
    <t xml:space="preserve">Circuit Acolyte</t>
  </si>
  <si>
    <t xml:space="preserve">Seal Sigil: firewall (self)</t>
  </si>
  <si>
    <t xml:space="preserve">Ritual Muster: 17 damage, 40% summon</t>
  </si>
  <si>
    <t xml:space="preserve">Binding Lash: 11 damage, 2 Protocol drain</t>
  </si>
  <si>
    <t xml:space="preserve">Warded Lash: 16 damage, firewall (self)</t>
  </si>
  <si>
    <t xml:space="preserve">9-11</t>
  </si>
  <si>
    <t xml:space="preserve">Command Needle: 13 damage, rewrite</t>
  </si>
  <si>
    <t xml:space="preserve">12-19</t>
  </si>
  <si>
    <t xml:space="preserve">Ash Channeler</t>
  </si>
  <si>
    <t xml:space="preserve">Channel Focus: +2 roll (self) 1 turn</t>
  </si>
  <si>
    <t xml:space="preserve">Ashen Muster: 20 damage, 4 burn 4 turns, 42% summon</t>
  </si>
  <si>
    <t xml:space="preserve">Arc Lance: 15 damage</t>
  </si>
  <si>
    <t xml:space="preserve">Cinder Litany: 14 damage, 2 burn 3 turns</t>
  </si>
  <si>
    <t xml:space="preserve">Sacrificial Drain: 18 damage, 2 Protocol drain</t>
  </si>
  <si>
    <t xml:space="preserve">Note: flipping keeps the ranges, so the 20-only band now holds the weakest move and band 1 (often 4-5 faces wide) holds the strongest. Ranges may need reshaping so the best move isn't on 20-25% of rolls.</t>
  </si>
  <si>
    <t xml:space="preserve">Random elite traits from battle 5: draft pool</t>
  </si>
  <si>
    <t xml:space="preserve">Proposed rule: from battle 5 to 9, each elite (and heavy) enemy rolls one random trait from this pool; no duplicate traits in one fight; fodder and bosses never get one; off on a player's first run. Names are titles that read with the callsign (ARMORED PATROL). Feral stays a Mantle Hunt rule, not a pool trait.</t>
  </si>
  <si>
    <t xml:space="preserve">Trait</t>
  </si>
  <si>
    <t xml:space="preserve">Effect</t>
  </si>
  <si>
    <t xml:space="preserve">Works on</t>
  </si>
  <si>
    <t xml:space="preserve">Notes</t>
  </si>
  <si>
    <t xml:space="preserve">Keep / cut / change</t>
  </si>
  <si>
    <t xml:space="preserve">Armored</t>
  </si>
  <si>
    <t xml:space="preserve">Takes 2 less damage from every hit.</t>
  </si>
  <si>
    <t xml:space="preserve">All</t>
  </si>
  <si>
    <t xml:space="preserve">Strong vs chain and multi-hit squads.</t>
  </si>
  <si>
    <t xml:space="preserve">Keep</t>
  </si>
  <si>
    <t xml:space="preserve">Hardened</t>
  </si>
  <si>
    <t xml:space="preserve">Starts the battle with 10 shield.</t>
  </si>
  <si>
    <t xml:space="preserve">Simple and readable; good first pool trait.</t>
  </si>
  <si>
    <t xml:space="preserve">Vicious</t>
  </si>
  <si>
    <t xml:space="preserve">+3 damage on every attack.</t>
  </si>
  <si>
    <t xml:space="preserve">Most: needs an attack</t>
  </si>
  <si>
    <t xml:space="preserve">Pure threat boost; pairs badly with Glass cannons (too spiky?).</t>
  </si>
  <si>
    <t xml:space="preserve">Regenerating</t>
  </si>
  <si>
    <t xml:space="preserve">Heals 4 at the start of each round.</t>
  </si>
  <si>
    <t xml:space="preserve">Most: not on Tanks</t>
  </si>
  <si>
    <t xml:space="preserve">On tanks it can stall fights.</t>
  </si>
  <si>
    <t xml:space="preserve">Barbed</t>
  </si>
  <si>
    <t xml:space="preserve">Heroes that hit it take 2 damage.</t>
  </si>
  <si>
    <t xml:space="preserve">Already exists (Spine Stalker today).</t>
  </si>
  <si>
    <t xml:space="preserve">Volatile</t>
  </si>
  <si>
    <t xml:space="preserve">When it dies, deals 4 damage to each hero.</t>
  </si>
  <si>
    <t xml:space="preserve">Already exists (Volt Enforcer today). Card shows the warning color.</t>
  </si>
  <si>
    <t xml:space="preserve">Vigilant</t>
  </si>
  <si>
    <t xml:space="preserve">Gains 2 shield whenever an ally is hit.</t>
  </si>
  <si>
    <t xml:space="preserve">Most: needs an ally in the fight</t>
  </si>
  <si>
    <t xml:space="preserve">Already exists (Patrol Enforcer today).</t>
  </si>
  <si>
    <t xml:space="preserve">Unshakable</t>
  </si>
  <si>
    <t xml:space="preserve">Immune to roll penalties.</t>
  </si>
  <si>
    <t xml:space="preserve">Direct counter to dice control; makes you use other tools.</t>
  </si>
  <si>
    <t xml:space="preserve">Enraged</t>
  </si>
  <si>
    <t xml:space="preserve">Below half HP, its attacks deal +4.</t>
  </si>
  <si>
    <t xml:space="preserve">Rewards bursting it down instead of chipping.</t>
  </si>
  <si>
    <t xml:space="preserve">Leeching</t>
  </si>
  <si>
    <t xml:space="preserve">Heals for a third of the damage it deals.</t>
  </si>
  <si>
    <t xml:space="preserve">Avoid on Tanks.</t>
  </si>
  <si>
    <t xml:space="preserve">Elusive</t>
  </si>
  <si>
    <t xml:space="preserve">Starts the battle cloaked.</t>
  </si>
  <si>
    <t xml:space="preserve">Most: not on units that taunt</t>
  </si>
  <si>
    <t xml:space="preserve">Uses the ambush rule: first attack +50%.</t>
  </si>
  <si>
    <t xml:space="preserve">Rallying</t>
  </si>
  <si>
    <t xml:space="preserve">Other enemies deal +2 damage while it lives.</t>
  </si>
  <si>
    <t xml:space="preserve">Gives a kill-order reason to target it.</t>
  </si>
  <si>
    <t xml:space="preserve">Stubborn</t>
  </si>
  <si>
    <t xml:space="preserve">Once per battle, survives a lethal hit at 1 HP.</t>
  </si>
  <si>
    <t xml:space="preserve">Strong; maybe battle 7+ only.</t>
  </si>
  <si>
    <t xml:space="preserve">Quickened</t>
  </si>
  <si>
    <t xml:space="preserve">+2 to its rolls.</t>
  </si>
  <si>
    <t xml:space="preserve">Not on INVERTED units</t>
  </si>
  <si>
    <t xml:space="preserve">On inverted units a roll bonus hurts them; exclude via tags.</t>
  </si>
  <si>
    <t xml:space="preserve">Names avoid every hero trait title (Ruthless, Relentless, Vengeful, Silent, etc.) so a title always tells you which side it's 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</si>
</sst>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A3A"/>
        <bgColor rgb="FF333300"/>
      </patternFill>
    </fill>
    <fill>
      <patternFill patternType="solid">
        <fgColor rgb="FF3A4A5F"/>
        <bgColor rgb="FF555555"/>
      </patternFill>
    </fill>
    <fill>
      <patternFill patternType="solid">
        <fgColor rgb="FFFCE4C8"/>
        <bgColor rgb="FFFFF2CC"/>
      </patternFill>
    </fill>
    <fill>
      <patternFill patternType="solid">
        <fgColor rgb="FFE2EFDA"/>
        <bgColor rgb="FFD6E6F5"/>
      </patternFill>
    </fill>
    <fill>
      <patternFill patternType="solid">
        <fgColor rgb="FFFFF2CC"/>
        <bgColor rgb="FFFCE4C8"/>
      </patternFill>
    </fill>
    <fill>
      <patternFill patternType="solid">
        <fgColor rgb="FFF8D0D0"/>
        <bgColor rgb="FFE8D9C8"/>
      </patternFill>
    </fill>
    <fill>
      <patternFill patternType="solid">
        <fgColor rgb="FFE2D6F3"/>
        <bgColor rgb="FFD6E6F5"/>
      </patternFill>
    </fill>
    <fill>
      <patternFill patternType="solid">
        <fgColor rgb="FFD6E6F5"/>
        <bgColor rgb="FFE2EFDA"/>
      </patternFill>
    </fill>
    <fill>
      <patternFill patternType="solid">
        <fgColor rgb="FFE8D9C8"/>
        <bgColor rgb="FFF8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2A3A"/>
          <bgColor rgb="FF000000"/>
        </patternFill>
      </fill>
    </dxf>
    <dxf>
      <fill>
        <patternFill patternType="solid">
          <fgColor rgb="FFD6E6F5"/>
          <bgColor rgb="FF000000"/>
        </patternFill>
      </fill>
    </dxf>
    <dxf>
      <fill>
        <patternFill patternType="solid">
          <fgColor rgb="FFE2D6F3"/>
          <bgColor rgb="FF000000"/>
        </patternFill>
      </fill>
    </dxf>
    <dxf>
      <fill>
        <patternFill patternType="solid">
          <fgColor rgb="FFE8D9C8"/>
          <bgColor rgb="FF000000"/>
        </patternFill>
      </fill>
    </dxf>
    <dxf>
      <fill>
        <patternFill patternType="solid">
          <fgColor rgb="FFF8D0D0"/>
          <bgColor rgb="FF000000"/>
        </patternFill>
      </fill>
    </dxf>
    <dxf>
      <fill>
        <patternFill patternType="solid">
          <fgColor rgb="FFFCE4C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A4A5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6F5"/>
      <rgbColor rgb="FF660066"/>
      <rgbColor rgb="FFFF8080"/>
      <rgbColor rgb="FF0066CC"/>
      <rgbColor rgb="FFE2D6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D9C8"/>
      <rgbColor rgb="FFE2EFDA"/>
      <rgbColor rgb="FFFCE4C8"/>
      <rgbColor rgb="FF99CCFF"/>
      <rgbColor rgb="FFF8D0D0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A4A5F"/>
      <rgbColor rgb="FF1F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40"/>
    <col collapsed="false" customWidth="true" hidden="false" outlineLevel="0" max="6" min="5" style="0" width="7"/>
    <col collapsed="false" customWidth="true" hidden="false" outlineLevel="0" max="16" min="7" style="0" width="6"/>
    <col collapsed="false" customWidth="true" hidden="false" outlineLevel="0" max="20" min="17" style="0" width="8"/>
    <col collapsed="false" customWidth="true" hidden="false" outlineLevel="0" max="21" min="21" style="0" width="9"/>
    <col collapsed="false" customWidth="true" hidden="false" outlineLevel="0" max="22" min="22" style="0" width="30"/>
  </cols>
  <sheetData>
    <row r="1" customFormat="false" ht="17.35" hidden="false" customHeight="false" outlineLevel="0" collapsed="false">
      <c r="A1" s="1" t="s">
        <v>0</v>
      </c>
    </row>
    <row r="2" customFormat="false" ht="5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3" t="s">
        <v>22</v>
      </c>
      <c r="V4" s="3" t="s">
        <v>23</v>
      </c>
    </row>
    <row r="5" customFormat="false" ht="26.85" hidden="false" customHeight="false" outlineLevel="0" collapsed="false">
      <c r="A5" s="5" t="s">
        <v>24</v>
      </c>
      <c r="B5" s="6" t="s">
        <v>25</v>
      </c>
      <c r="C5" s="6" t="s">
        <v>26</v>
      </c>
      <c r="D5" s="6" t="s">
        <v>27</v>
      </c>
      <c r="E5" s="6" t="n">
        <v>35</v>
      </c>
      <c r="F5" s="7" t="n">
        <v>26</v>
      </c>
      <c r="G5" s="6" t="n">
        <v>0</v>
      </c>
      <c r="H5" s="6" t="n">
        <v>7</v>
      </c>
      <c r="I5" s="6" t="n">
        <v>10</v>
      </c>
      <c r="J5" s="6" t="n">
        <v>15</v>
      </c>
      <c r="K5" s="6" t="n">
        <v>20</v>
      </c>
      <c r="L5" s="7" t="n">
        <v>0</v>
      </c>
      <c r="M5" s="7" t="n">
        <v>9</v>
      </c>
      <c r="N5" s="7" t="n">
        <v>14</v>
      </c>
      <c r="O5" s="7" t="n">
        <v>22</v>
      </c>
      <c r="P5" s="7" t="n">
        <v>32</v>
      </c>
      <c r="Q5" s="6" t="n">
        <v>9.1</v>
      </c>
      <c r="R5" s="7" t="n">
        <v>12.9</v>
      </c>
      <c r="S5" s="6" t="n">
        <v>20</v>
      </c>
      <c r="T5" s="7" t="n">
        <v>32</v>
      </c>
      <c r="U5" s="8"/>
      <c r="V5" s="8"/>
    </row>
    <row r="6" customFormat="false" ht="26.85" hidden="false" customHeight="false" outlineLevel="0" collapsed="false">
      <c r="A6" s="5" t="s">
        <v>24</v>
      </c>
      <c r="B6" s="6" t="s">
        <v>28</v>
      </c>
      <c r="C6" s="6" t="s">
        <v>29</v>
      </c>
      <c r="D6" s="6" t="s">
        <v>30</v>
      </c>
      <c r="E6" s="6" t="n">
        <v>45</v>
      </c>
      <c r="F6" s="7" t="n">
        <v>56</v>
      </c>
      <c r="G6" s="6" t="n">
        <v>0</v>
      </c>
      <c r="H6" s="6" t="n">
        <v>6</v>
      </c>
      <c r="I6" s="6" t="n">
        <v>9</v>
      </c>
      <c r="J6" s="6" t="n">
        <v>12</v>
      </c>
      <c r="K6" s="6" t="n">
        <v>14</v>
      </c>
      <c r="L6" s="7" t="n">
        <v>0</v>
      </c>
      <c r="M6" s="7" t="n">
        <v>4</v>
      </c>
      <c r="N6" s="7" t="n">
        <v>7</v>
      </c>
      <c r="O6" s="7" t="n">
        <v>10</v>
      </c>
      <c r="P6" s="7" t="n">
        <v>12</v>
      </c>
      <c r="Q6" s="6" t="n">
        <v>7.6</v>
      </c>
      <c r="R6" s="7" t="n">
        <v>5.9</v>
      </c>
      <c r="S6" s="6" t="n">
        <v>14</v>
      </c>
      <c r="T6" s="7" t="n">
        <v>12</v>
      </c>
      <c r="U6" s="8"/>
      <c r="V6" s="8"/>
    </row>
    <row r="7" customFormat="false" ht="15" hidden="false" customHeight="false" outlineLevel="0" collapsed="false">
      <c r="A7" s="5" t="s">
        <v>24</v>
      </c>
      <c r="B7" s="6" t="s">
        <v>31</v>
      </c>
      <c r="C7" s="6" t="s">
        <v>32</v>
      </c>
      <c r="D7" s="6" t="s">
        <v>33</v>
      </c>
      <c r="E7" s="6" t="n">
        <v>40</v>
      </c>
      <c r="F7" s="7" t="n">
        <v>36</v>
      </c>
      <c r="G7" s="6" t="n">
        <v>0</v>
      </c>
      <c r="H7" s="6" t="n">
        <v>5</v>
      </c>
      <c r="I7" s="6" t="n">
        <v>8</v>
      </c>
      <c r="J7" s="6" t="n">
        <v>11</v>
      </c>
      <c r="K7" s="6" t="n">
        <v>13</v>
      </c>
      <c r="L7" s="7" t="n">
        <v>0</v>
      </c>
      <c r="M7" s="7" t="n">
        <v>4</v>
      </c>
      <c r="N7" s="7" t="n">
        <v>6</v>
      </c>
      <c r="O7" s="7" t="n">
        <v>9</v>
      </c>
      <c r="P7" s="7" t="n">
        <v>11</v>
      </c>
      <c r="Q7" s="6" t="n">
        <v>6.8</v>
      </c>
      <c r="R7" s="7" t="n">
        <v>5.3</v>
      </c>
      <c r="S7" s="6" t="n">
        <v>13</v>
      </c>
      <c r="T7" s="7" t="n">
        <v>11</v>
      </c>
      <c r="U7" s="8"/>
      <c r="V7" s="8"/>
    </row>
    <row r="8" customFormat="false" ht="15" hidden="false" customHeight="false" outlineLevel="0" collapsed="false">
      <c r="A8" s="5" t="s">
        <v>24</v>
      </c>
      <c r="B8" s="6" t="s">
        <v>34</v>
      </c>
      <c r="C8" s="6" t="s">
        <v>35</v>
      </c>
      <c r="D8" s="6" t="s">
        <v>36</v>
      </c>
      <c r="E8" s="6" t="n">
        <v>60</v>
      </c>
      <c r="F8" s="7" t="n">
        <v>63</v>
      </c>
      <c r="G8" s="6" t="n">
        <v>0</v>
      </c>
      <c r="H8" s="6" t="n">
        <v>15</v>
      </c>
      <c r="I8" s="6" t="n">
        <v>18</v>
      </c>
      <c r="J8" s="6" t="n">
        <v>21</v>
      </c>
      <c r="K8" s="6" t="n">
        <v>23</v>
      </c>
      <c r="L8" s="7" t="n">
        <v>0</v>
      </c>
      <c r="M8" s="7" t="n">
        <v>16</v>
      </c>
      <c r="N8" s="7" t="n">
        <v>20</v>
      </c>
      <c r="O8" s="7" t="n">
        <v>23</v>
      </c>
      <c r="P8" s="7" t="n">
        <v>25</v>
      </c>
      <c r="Q8" s="6" t="n">
        <v>15.4</v>
      </c>
      <c r="R8" s="7" t="n">
        <v>16.8</v>
      </c>
      <c r="S8" s="6" t="n">
        <v>23</v>
      </c>
      <c r="T8" s="7" t="n">
        <v>25</v>
      </c>
      <c r="U8" s="8"/>
      <c r="V8" s="8"/>
    </row>
    <row r="9" customFormat="false" ht="26.85" hidden="false" customHeight="false" outlineLevel="0" collapsed="false">
      <c r="A9" s="5" t="s">
        <v>24</v>
      </c>
      <c r="B9" s="6" t="s">
        <v>37</v>
      </c>
      <c r="C9" s="6" t="s">
        <v>38</v>
      </c>
      <c r="D9" s="6" t="s">
        <v>39</v>
      </c>
      <c r="E9" s="6" t="n">
        <v>65</v>
      </c>
      <c r="F9" s="7" t="n">
        <v>62</v>
      </c>
      <c r="G9" s="6" t="n">
        <v>0</v>
      </c>
      <c r="H9" s="6" t="n">
        <v>10</v>
      </c>
      <c r="I9" s="6" t="n">
        <v>12</v>
      </c>
      <c r="J9" s="6" t="n">
        <v>14</v>
      </c>
      <c r="K9" s="6" t="n">
        <v>16</v>
      </c>
      <c r="L9" s="7" t="n">
        <v>0</v>
      </c>
      <c r="M9" s="7" t="n">
        <v>8</v>
      </c>
      <c r="N9" s="7" t="n">
        <v>11</v>
      </c>
      <c r="O9" s="7" t="n">
        <v>20</v>
      </c>
      <c r="P9" s="7" t="n">
        <v>30</v>
      </c>
      <c r="Q9" s="6" t="n">
        <v>10.3</v>
      </c>
      <c r="R9" s="7" t="n">
        <v>11.7</v>
      </c>
      <c r="S9" s="6" t="n">
        <v>16</v>
      </c>
      <c r="T9" s="7" t="n">
        <v>30</v>
      </c>
      <c r="U9" s="8"/>
      <c r="V9" s="8"/>
    </row>
    <row r="10" customFormat="false" ht="15" hidden="false" customHeight="false" outlineLevel="0" collapsed="false">
      <c r="A10" s="5" t="s">
        <v>24</v>
      </c>
      <c r="B10" s="6" t="s">
        <v>40</v>
      </c>
      <c r="C10" s="6" t="s">
        <v>29</v>
      </c>
      <c r="D10" s="6" t="s">
        <v>41</v>
      </c>
      <c r="E10" s="6" t="n">
        <v>70</v>
      </c>
      <c r="F10" s="7" t="n">
        <v>88</v>
      </c>
      <c r="G10" s="6" t="n">
        <v>0</v>
      </c>
      <c r="H10" s="6" t="n">
        <v>12</v>
      </c>
      <c r="I10" s="6" t="n">
        <v>11</v>
      </c>
      <c r="J10" s="6" t="n">
        <v>16</v>
      </c>
      <c r="K10" s="6" t="n">
        <v>20</v>
      </c>
      <c r="L10" s="7" t="n">
        <v>0</v>
      </c>
      <c r="M10" s="7" t="n">
        <v>9</v>
      </c>
      <c r="N10" s="7" t="n">
        <v>8</v>
      </c>
      <c r="O10" s="7" t="n">
        <v>13</v>
      </c>
      <c r="P10" s="7" t="n">
        <v>17</v>
      </c>
      <c r="Q10" s="6" t="n">
        <v>11.4</v>
      </c>
      <c r="R10" s="7" t="n">
        <v>8.8</v>
      </c>
      <c r="S10" s="6" t="n">
        <v>20</v>
      </c>
      <c r="T10" s="7" t="n">
        <v>17</v>
      </c>
      <c r="U10" s="8"/>
      <c r="V10" s="8"/>
    </row>
    <row r="11" customFormat="false" ht="15" hidden="false" customHeight="false" outlineLevel="0" collapsed="false">
      <c r="A11" s="5" t="s">
        <v>24</v>
      </c>
      <c r="B11" s="6" t="s">
        <v>42</v>
      </c>
      <c r="C11" s="6" t="s">
        <v>35</v>
      </c>
      <c r="D11" s="6" t="s">
        <v>43</v>
      </c>
      <c r="E11" s="6" t="n">
        <v>95</v>
      </c>
      <c r="F11" s="7" t="n">
        <v>100</v>
      </c>
      <c r="G11" s="6" t="n">
        <v>0</v>
      </c>
      <c r="H11" s="6" t="n">
        <v>12</v>
      </c>
      <c r="I11" s="6" t="n">
        <v>12</v>
      </c>
      <c r="J11" s="6" t="n">
        <v>26</v>
      </c>
      <c r="K11" s="6" t="n">
        <v>32</v>
      </c>
      <c r="L11" s="7" t="n">
        <v>0</v>
      </c>
      <c r="M11" s="7" t="n">
        <v>13</v>
      </c>
      <c r="N11" s="7" t="n">
        <v>13</v>
      </c>
      <c r="O11" s="7" t="n">
        <v>29</v>
      </c>
      <c r="P11" s="7" t="n">
        <v>35</v>
      </c>
      <c r="Q11" s="6" t="n">
        <v>13.9</v>
      </c>
      <c r="R11" s="7" t="n">
        <v>15.2</v>
      </c>
      <c r="S11" s="6" t="n">
        <v>32</v>
      </c>
      <c r="T11" s="7" t="n">
        <v>35</v>
      </c>
      <c r="U11" s="8"/>
      <c r="V11" s="8"/>
    </row>
    <row r="12" customFormat="false" ht="26.85" hidden="false" customHeight="false" outlineLevel="0" collapsed="false">
      <c r="A12" s="5" t="s">
        <v>24</v>
      </c>
      <c r="B12" s="6" t="s">
        <v>44</v>
      </c>
      <c r="C12" s="6" t="s">
        <v>45</v>
      </c>
      <c r="D12" s="6"/>
      <c r="E12" s="6" t="n">
        <v>140</v>
      </c>
      <c r="F12" s="7" t="n">
        <v>140</v>
      </c>
      <c r="G12" s="6" t="n">
        <v>0</v>
      </c>
      <c r="H12" s="6" t="n">
        <v>12</v>
      </c>
      <c r="I12" s="6" t="n">
        <v>17</v>
      </c>
      <c r="J12" s="6" t="n">
        <v>21</v>
      </c>
      <c r="K12" s="6" t="n">
        <v>26</v>
      </c>
      <c r="L12" s="7" t="n">
        <v>0</v>
      </c>
      <c r="M12" s="7" t="n">
        <v>12</v>
      </c>
      <c r="N12" s="7" t="n">
        <v>17</v>
      </c>
      <c r="O12" s="7" t="n">
        <v>21</v>
      </c>
      <c r="P12" s="7" t="n">
        <v>26</v>
      </c>
      <c r="Q12" s="6" t="n">
        <v>16.8</v>
      </c>
      <c r="R12" s="7" t="n">
        <v>16.8</v>
      </c>
      <c r="S12" s="6" t="n">
        <v>26</v>
      </c>
      <c r="T12" s="7" t="n">
        <v>26</v>
      </c>
      <c r="U12" s="8"/>
      <c r="V12" s="8"/>
    </row>
    <row r="13" customFormat="false" ht="15" hidden="false" customHeight="false" outlineLevel="0" collapsed="false">
      <c r="A13" s="9" t="s">
        <v>46</v>
      </c>
      <c r="B13" s="6" t="s">
        <v>47</v>
      </c>
      <c r="C13" s="6" t="s">
        <v>26</v>
      </c>
      <c r="D13" s="6" t="s">
        <v>48</v>
      </c>
      <c r="E13" s="6" t="n">
        <v>30</v>
      </c>
      <c r="F13" s="7" t="n">
        <v>22</v>
      </c>
      <c r="G13" s="6" t="n">
        <v>0</v>
      </c>
      <c r="H13" s="6" t="n">
        <v>8</v>
      </c>
      <c r="I13" s="6" t="n">
        <v>9</v>
      </c>
      <c r="J13" s="6" t="n">
        <v>12</v>
      </c>
      <c r="K13" s="6" t="n">
        <v>17</v>
      </c>
      <c r="L13" s="7" t="n">
        <v>0</v>
      </c>
      <c r="M13" s="7" t="n">
        <v>10</v>
      </c>
      <c r="N13" s="7" t="n">
        <v>13</v>
      </c>
      <c r="O13" s="7" t="n">
        <v>18</v>
      </c>
      <c r="P13" s="7" t="n">
        <v>27</v>
      </c>
      <c r="Q13" s="6" t="n">
        <v>7.3</v>
      </c>
      <c r="R13" s="7" t="n">
        <v>10.3</v>
      </c>
      <c r="S13" s="6" t="n">
        <v>17</v>
      </c>
      <c r="T13" s="7" t="n">
        <v>27</v>
      </c>
      <c r="U13" s="8"/>
      <c r="V13" s="8"/>
    </row>
    <row r="14" customFormat="false" ht="26.85" hidden="false" customHeight="false" outlineLevel="0" collapsed="false">
      <c r="A14" s="9" t="s">
        <v>46</v>
      </c>
      <c r="B14" s="6" t="s">
        <v>49</v>
      </c>
      <c r="C14" s="6" t="s">
        <v>50</v>
      </c>
      <c r="D14" s="6" t="s">
        <v>51</v>
      </c>
      <c r="E14" s="6" t="n">
        <v>26</v>
      </c>
      <c r="F14" s="7" t="n">
        <v>22</v>
      </c>
      <c r="G14" s="6" t="n">
        <v>0</v>
      </c>
      <c r="H14" s="6" t="n">
        <v>6</v>
      </c>
      <c r="I14" s="6" t="n">
        <v>8</v>
      </c>
      <c r="J14" s="6" t="n">
        <v>10</v>
      </c>
      <c r="K14" s="6" t="n">
        <v>11</v>
      </c>
      <c r="L14" s="7" t="n">
        <v>0</v>
      </c>
      <c r="M14" s="7" t="n">
        <v>5</v>
      </c>
      <c r="N14" s="7" t="n">
        <v>7</v>
      </c>
      <c r="O14" s="7" t="n">
        <v>9</v>
      </c>
      <c r="P14" s="7" t="n">
        <v>10</v>
      </c>
      <c r="Q14" s="6" t="n">
        <v>5.8</v>
      </c>
      <c r="R14" s="7" t="n">
        <v>5.1</v>
      </c>
      <c r="S14" s="6" t="n">
        <v>11</v>
      </c>
      <c r="T14" s="7" t="n">
        <v>10</v>
      </c>
      <c r="U14" s="8"/>
      <c r="V14" s="8"/>
    </row>
    <row r="15" customFormat="false" ht="26.85" hidden="false" customHeight="false" outlineLevel="0" collapsed="false">
      <c r="A15" s="9" t="s">
        <v>46</v>
      </c>
      <c r="B15" s="6" t="s">
        <v>52</v>
      </c>
      <c r="C15" s="6" t="s">
        <v>26</v>
      </c>
      <c r="D15" s="6" t="s">
        <v>53</v>
      </c>
      <c r="E15" s="6" t="n">
        <v>49</v>
      </c>
      <c r="F15" s="7" t="n">
        <v>37</v>
      </c>
      <c r="G15" s="6" t="n">
        <v>0</v>
      </c>
      <c r="H15" s="6" t="n">
        <v>15</v>
      </c>
      <c r="I15" s="6" t="n">
        <v>16</v>
      </c>
      <c r="J15" s="6" t="n">
        <v>18</v>
      </c>
      <c r="K15" s="6" t="n">
        <v>20</v>
      </c>
      <c r="L15" s="7" t="n">
        <v>0</v>
      </c>
      <c r="M15" s="7" t="n">
        <v>20</v>
      </c>
      <c r="N15" s="7" t="n">
        <v>22</v>
      </c>
      <c r="O15" s="7" t="n">
        <v>27</v>
      </c>
      <c r="P15" s="7" t="n">
        <v>32</v>
      </c>
      <c r="Q15" s="6" t="n">
        <v>12.4</v>
      </c>
      <c r="R15" s="7" t="n">
        <v>17.6</v>
      </c>
      <c r="S15" s="6" t="n">
        <v>20</v>
      </c>
      <c r="T15" s="7" t="n">
        <v>32</v>
      </c>
      <c r="U15" s="8"/>
      <c r="V15" s="8"/>
    </row>
    <row r="16" customFormat="false" ht="15" hidden="false" customHeight="false" outlineLevel="0" collapsed="false">
      <c r="A16" s="9" t="s">
        <v>46</v>
      </c>
      <c r="B16" s="6" t="s">
        <v>54</v>
      </c>
      <c r="C16" s="6" t="s">
        <v>29</v>
      </c>
      <c r="D16" s="6" t="s">
        <v>55</v>
      </c>
      <c r="E16" s="6" t="n">
        <v>80</v>
      </c>
      <c r="F16" s="7" t="n">
        <v>100</v>
      </c>
      <c r="G16" s="6" t="n">
        <v>0</v>
      </c>
      <c r="H16" s="6" t="n">
        <v>13</v>
      </c>
      <c r="I16" s="6" t="n">
        <v>11</v>
      </c>
      <c r="J16" s="6" t="n">
        <v>14</v>
      </c>
      <c r="K16" s="6" t="n">
        <v>17</v>
      </c>
      <c r="L16" s="7" t="n">
        <v>0</v>
      </c>
      <c r="M16" s="7" t="n">
        <v>10</v>
      </c>
      <c r="N16" s="7" t="n">
        <v>8</v>
      </c>
      <c r="O16" s="7" t="n">
        <v>11</v>
      </c>
      <c r="P16" s="7" t="n">
        <v>14</v>
      </c>
      <c r="Q16" s="6" t="n">
        <v>10.1</v>
      </c>
      <c r="R16" s="7" t="n">
        <v>7.7</v>
      </c>
      <c r="S16" s="6" t="n">
        <v>17</v>
      </c>
      <c r="T16" s="7" t="n">
        <v>14</v>
      </c>
      <c r="U16" s="8"/>
      <c r="V16" s="8"/>
    </row>
    <row r="17" customFormat="false" ht="15" hidden="false" customHeight="false" outlineLevel="0" collapsed="false">
      <c r="A17" s="9" t="s">
        <v>46</v>
      </c>
      <c r="B17" s="6" t="s">
        <v>56</v>
      </c>
      <c r="C17" s="6" t="s">
        <v>35</v>
      </c>
      <c r="D17" s="6" t="s">
        <v>57</v>
      </c>
      <c r="E17" s="6" t="n">
        <v>90</v>
      </c>
      <c r="F17" s="7" t="n">
        <v>94</v>
      </c>
      <c r="G17" s="6" t="n">
        <v>0</v>
      </c>
      <c r="H17" s="6" t="n">
        <v>12</v>
      </c>
      <c r="I17" s="6" t="n">
        <v>10</v>
      </c>
      <c r="J17" s="6" t="n">
        <v>19</v>
      </c>
      <c r="K17" s="6" t="n">
        <v>29</v>
      </c>
      <c r="L17" s="7" t="n">
        <v>0</v>
      </c>
      <c r="M17" s="7" t="n">
        <v>13</v>
      </c>
      <c r="N17" s="7" t="n">
        <v>11</v>
      </c>
      <c r="O17" s="7" t="n">
        <v>21</v>
      </c>
      <c r="P17" s="7" t="n">
        <v>32</v>
      </c>
      <c r="Q17" s="6" t="n">
        <v>10.5</v>
      </c>
      <c r="R17" s="7" t="n">
        <v>11.6</v>
      </c>
      <c r="S17" s="6" t="n">
        <v>29</v>
      </c>
      <c r="T17" s="7" t="n">
        <v>32</v>
      </c>
      <c r="U17" s="8"/>
      <c r="V17" s="8"/>
    </row>
    <row r="18" customFormat="false" ht="15" hidden="false" customHeight="false" outlineLevel="0" collapsed="false">
      <c r="A18" s="9" t="s">
        <v>46</v>
      </c>
      <c r="B18" s="6" t="s">
        <v>58</v>
      </c>
      <c r="C18" s="6" t="s">
        <v>32</v>
      </c>
      <c r="D18" s="6" t="s">
        <v>59</v>
      </c>
      <c r="E18" s="6" t="n">
        <v>90</v>
      </c>
      <c r="F18" s="7" t="n">
        <v>81</v>
      </c>
      <c r="G18" s="6" t="n">
        <v>0</v>
      </c>
      <c r="H18" s="6" t="n">
        <v>9</v>
      </c>
      <c r="I18" s="6" t="n">
        <v>10</v>
      </c>
      <c r="J18" s="6" t="n">
        <v>11</v>
      </c>
      <c r="K18" s="6" t="n">
        <v>13</v>
      </c>
      <c r="L18" s="7" t="n">
        <v>0</v>
      </c>
      <c r="M18" s="7" t="n">
        <v>7</v>
      </c>
      <c r="N18" s="7" t="n">
        <v>8</v>
      </c>
      <c r="O18" s="7" t="n">
        <v>9</v>
      </c>
      <c r="P18" s="7" t="n">
        <v>11</v>
      </c>
      <c r="Q18" s="6" t="n">
        <v>7.5</v>
      </c>
      <c r="R18" s="7" t="n">
        <v>6.1</v>
      </c>
      <c r="S18" s="6" t="n">
        <v>13</v>
      </c>
      <c r="T18" s="7" t="n">
        <v>11</v>
      </c>
      <c r="U18" s="8"/>
      <c r="V18" s="8"/>
    </row>
    <row r="19" customFormat="false" ht="26.85" hidden="false" customHeight="false" outlineLevel="0" collapsed="false">
      <c r="A19" s="9" t="s">
        <v>46</v>
      </c>
      <c r="B19" s="6" t="s">
        <v>60</v>
      </c>
      <c r="C19" s="6" t="s">
        <v>45</v>
      </c>
      <c r="D19" s="6"/>
      <c r="E19" s="6" t="n">
        <v>135</v>
      </c>
      <c r="F19" s="7" t="n">
        <v>135</v>
      </c>
      <c r="G19" s="6" t="n">
        <v>0</v>
      </c>
      <c r="H19" s="6" t="n">
        <v>22</v>
      </c>
      <c r="I19" s="6" t="n">
        <v>22</v>
      </c>
      <c r="J19" s="6" t="n">
        <v>27</v>
      </c>
      <c r="K19" s="6" t="n">
        <v>30</v>
      </c>
      <c r="L19" s="7" t="n">
        <v>0</v>
      </c>
      <c r="M19" s="7" t="n">
        <v>22</v>
      </c>
      <c r="N19" s="7" t="n">
        <v>22</v>
      </c>
      <c r="O19" s="7" t="n">
        <v>27</v>
      </c>
      <c r="P19" s="7" t="n">
        <v>30</v>
      </c>
      <c r="Q19" s="6" t="n">
        <v>17.6</v>
      </c>
      <c r="R19" s="7" t="n">
        <v>17.6</v>
      </c>
      <c r="S19" s="6" t="n">
        <v>30</v>
      </c>
      <c r="T19" s="7" t="n">
        <v>30</v>
      </c>
      <c r="U19" s="8"/>
      <c r="V19" s="8"/>
    </row>
    <row r="20" customFormat="false" ht="15" hidden="false" customHeight="false" outlineLevel="0" collapsed="false">
      <c r="A20" s="10" t="s">
        <v>61</v>
      </c>
      <c r="B20" s="6" t="s">
        <v>62</v>
      </c>
      <c r="C20" s="6" t="s">
        <v>29</v>
      </c>
      <c r="D20" s="6" t="s">
        <v>63</v>
      </c>
      <c r="E20" s="6" t="n">
        <v>34</v>
      </c>
      <c r="F20" s="7" t="n">
        <v>42</v>
      </c>
      <c r="G20" s="6" t="n">
        <v>0</v>
      </c>
      <c r="H20" s="6" t="n">
        <v>7</v>
      </c>
      <c r="I20" s="6" t="n">
        <v>9</v>
      </c>
      <c r="J20" s="6" t="n">
        <v>12</v>
      </c>
      <c r="K20" s="6" t="n">
        <v>15</v>
      </c>
      <c r="L20" s="7" t="n">
        <v>0</v>
      </c>
      <c r="M20" s="7" t="n">
        <v>5</v>
      </c>
      <c r="N20" s="7" t="n">
        <v>7</v>
      </c>
      <c r="O20" s="7" t="n">
        <v>10</v>
      </c>
      <c r="P20" s="7" t="n">
        <v>13</v>
      </c>
      <c r="Q20" s="6" t="n">
        <v>8.1</v>
      </c>
      <c r="R20" s="7" t="n">
        <v>6.3</v>
      </c>
      <c r="S20" s="6" t="n">
        <v>15</v>
      </c>
      <c r="T20" s="7" t="n">
        <v>13</v>
      </c>
      <c r="U20" s="8"/>
      <c r="V20" s="8"/>
    </row>
    <row r="21" customFormat="false" ht="15" hidden="false" customHeight="false" outlineLevel="0" collapsed="false">
      <c r="A21" s="10" t="s">
        <v>61</v>
      </c>
      <c r="B21" s="6" t="s">
        <v>64</v>
      </c>
      <c r="C21" s="6" t="s">
        <v>26</v>
      </c>
      <c r="D21" s="6" t="s">
        <v>65</v>
      </c>
      <c r="E21" s="6" t="n">
        <v>32</v>
      </c>
      <c r="F21" s="7" t="n">
        <v>24</v>
      </c>
      <c r="G21" s="6" t="n">
        <v>0</v>
      </c>
      <c r="H21" s="6" t="n">
        <v>8</v>
      </c>
      <c r="I21" s="6" t="n">
        <v>11</v>
      </c>
      <c r="J21" s="6" t="n">
        <v>14</v>
      </c>
      <c r="K21" s="6" t="n">
        <v>18</v>
      </c>
      <c r="L21" s="7" t="n">
        <v>0</v>
      </c>
      <c r="M21" s="7" t="n">
        <v>10</v>
      </c>
      <c r="N21" s="7" t="n">
        <v>15</v>
      </c>
      <c r="O21" s="7" t="n">
        <v>21</v>
      </c>
      <c r="P21" s="7" t="n">
        <v>29</v>
      </c>
      <c r="Q21" s="6" t="n">
        <v>9.6</v>
      </c>
      <c r="R21" s="7" t="n">
        <v>13.4</v>
      </c>
      <c r="S21" s="6" t="n">
        <v>18</v>
      </c>
      <c r="T21" s="7" t="n">
        <v>29</v>
      </c>
      <c r="U21" s="8"/>
      <c r="V21" s="8"/>
    </row>
    <row r="22" customFormat="false" ht="26.85" hidden="false" customHeight="false" outlineLevel="0" collapsed="false">
      <c r="A22" s="10" t="s">
        <v>61</v>
      </c>
      <c r="B22" s="6" t="s">
        <v>66</v>
      </c>
      <c r="C22" s="6" t="s">
        <v>26</v>
      </c>
      <c r="D22" s="6" t="s">
        <v>67</v>
      </c>
      <c r="E22" s="6" t="n">
        <v>60</v>
      </c>
      <c r="F22" s="7" t="n">
        <v>45</v>
      </c>
      <c r="G22" s="6" t="n">
        <v>0</v>
      </c>
      <c r="H22" s="6" t="n">
        <v>13</v>
      </c>
      <c r="I22" s="6" t="n">
        <v>15</v>
      </c>
      <c r="J22" s="6" t="n">
        <v>18</v>
      </c>
      <c r="K22" s="6" t="n">
        <v>23</v>
      </c>
      <c r="L22" s="7" t="n">
        <v>0</v>
      </c>
      <c r="M22" s="7" t="n">
        <v>17</v>
      </c>
      <c r="N22" s="7" t="n">
        <v>21</v>
      </c>
      <c r="O22" s="7" t="n">
        <v>27</v>
      </c>
      <c r="P22" s="7" t="n">
        <v>37</v>
      </c>
      <c r="Q22" s="6" t="n">
        <v>13.4</v>
      </c>
      <c r="R22" s="7" t="n">
        <v>19.1</v>
      </c>
      <c r="S22" s="6" t="n">
        <v>23</v>
      </c>
      <c r="T22" s="7" t="n">
        <v>37</v>
      </c>
      <c r="U22" s="8"/>
      <c r="V22" s="8"/>
    </row>
    <row r="23" customFormat="false" ht="15" hidden="false" customHeight="false" outlineLevel="0" collapsed="false">
      <c r="A23" s="10" t="s">
        <v>61</v>
      </c>
      <c r="B23" s="6" t="s">
        <v>68</v>
      </c>
      <c r="C23" s="6" t="s">
        <v>29</v>
      </c>
      <c r="D23" s="6" t="s">
        <v>69</v>
      </c>
      <c r="E23" s="6" t="n">
        <v>58</v>
      </c>
      <c r="F23" s="7" t="n">
        <v>72</v>
      </c>
      <c r="G23" s="6" t="n">
        <v>0</v>
      </c>
      <c r="H23" s="6" t="n">
        <v>11</v>
      </c>
      <c r="I23" s="6" t="n">
        <v>13</v>
      </c>
      <c r="J23" s="6" t="n">
        <v>17</v>
      </c>
      <c r="K23" s="6" t="n">
        <v>19</v>
      </c>
      <c r="L23" s="7" t="n">
        <v>0</v>
      </c>
      <c r="M23" s="7" t="n">
        <v>8</v>
      </c>
      <c r="N23" s="7" t="n">
        <v>10</v>
      </c>
      <c r="O23" s="7" t="n">
        <v>14</v>
      </c>
      <c r="P23" s="7" t="n">
        <v>16</v>
      </c>
      <c r="Q23" s="6" t="n">
        <v>12</v>
      </c>
      <c r="R23" s="7" t="n">
        <v>9.3</v>
      </c>
      <c r="S23" s="6" t="n">
        <v>19</v>
      </c>
      <c r="T23" s="7" t="n">
        <v>16</v>
      </c>
      <c r="U23" s="8"/>
      <c r="V23" s="8"/>
    </row>
    <row r="24" customFormat="false" ht="15" hidden="false" customHeight="false" outlineLevel="0" collapsed="false">
      <c r="A24" s="10" t="s">
        <v>61</v>
      </c>
      <c r="B24" s="6" t="s">
        <v>70</v>
      </c>
      <c r="C24" s="6" t="s">
        <v>32</v>
      </c>
      <c r="D24" s="6" t="s">
        <v>71</v>
      </c>
      <c r="E24" s="6" t="n">
        <v>65</v>
      </c>
      <c r="F24" s="7" t="n">
        <v>58</v>
      </c>
      <c r="G24" s="6" t="n">
        <v>0</v>
      </c>
      <c r="H24" s="6" t="n">
        <v>11</v>
      </c>
      <c r="I24" s="6" t="n">
        <v>10</v>
      </c>
      <c r="J24" s="6" t="n">
        <v>15</v>
      </c>
      <c r="K24" s="6" t="n">
        <v>17</v>
      </c>
      <c r="L24" s="7" t="n">
        <v>0</v>
      </c>
      <c r="M24" s="7" t="n">
        <v>8</v>
      </c>
      <c r="N24" s="7" t="n">
        <v>8</v>
      </c>
      <c r="O24" s="7" t="n">
        <v>12</v>
      </c>
      <c r="P24" s="7" t="n">
        <v>14</v>
      </c>
      <c r="Q24" s="6" t="n">
        <v>10.4</v>
      </c>
      <c r="R24" s="7" t="n">
        <v>8.1</v>
      </c>
      <c r="S24" s="6" t="n">
        <v>17</v>
      </c>
      <c r="T24" s="7" t="n">
        <v>14</v>
      </c>
      <c r="U24" s="8"/>
      <c r="V24" s="8"/>
    </row>
    <row r="25" customFormat="false" ht="15" hidden="false" customHeight="false" outlineLevel="0" collapsed="false">
      <c r="A25" s="10" t="s">
        <v>61</v>
      </c>
      <c r="B25" s="6" t="s">
        <v>72</v>
      </c>
      <c r="C25" s="6" t="s">
        <v>35</v>
      </c>
      <c r="D25" s="6" t="s">
        <v>73</v>
      </c>
      <c r="E25" s="6" t="n">
        <v>100</v>
      </c>
      <c r="F25" s="7" t="n">
        <v>105</v>
      </c>
      <c r="G25" s="6" t="n">
        <v>0</v>
      </c>
      <c r="H25" s="6" t="n">
        <v>11</v>
      </c>
      <c r="I25" s="6" t="n">
        <v>11</v>
      </c>
      <c r="J25" s="6" t="n">
        <v>21</v>
      </c>
      <c r="K25" s="6" t="n">
        <v>27</v>
      </c>
      <c r="L25" s="7" t="n">
        <v>0</v>
      </c>
      <c r="M25" s="7" t="n">
        <v>12</v>
      </c>
      <c r="N25" s="7" t="n">
        <v>12</v>
      </c>
      <c r="O25" s="7" t="n">
        <v>23</v>
      </c>
      <c r="P25" s="7" t="n">
        <v>30</v>
      </c>
      <c r="Q25" s="6" t="n">
        <v>12.2</v>
      </c>
      <c r="R25" s="7" t="n">
        <v>13.3</v>
      </c>
      <c r="S25" s="6" t="n">
        <v>27</v>
      </c>
      <c r="T25" s="7" t="n">
        <v>30</v>
      </c>
      <c r="U25" s="8"/>
      <c r="V25" s="8"/>
    </row>
    <row r="26" customFormat="false" ht="15" hidden="false" customHeight="false" outlineLevel="0" collapsed="false">
      <c r="A26" s="10" t="s">
        <v>61</v>
      </c>
      <c r="B26" s="6" t="s">
        <v>74</v>
      </c>
      <c r="C26" s="6" t="s">
        <v>38</v>
      </c>
      <c r="D26" s="6" t="s">
        <v>75</v>
      </c>
      <c r="E26" s="6" t="n">
        <v>90</v>
      </c>
      <c r="F26" s="7" t="n">
        <v>86</v>
      </c>
      <c r="G26" s="6" t="n">
        <v>0</v>
      </c>
      <c r="H26" s="6" t="n">
        <v>10</v>
      </c>
      <c r="I26" s="6" t="n">
        <v>11</v>
      </c>
      <c r="J26" s="6" t="n">
        <v>13</v>
      </c>
      <c r="K26" s="6" t="n">
        <v>15</v>
      </c>
      <c r="L26" s="7" t="n">
        <v>0</v>
      </c>
      <c r="M26" s="7" t="n">
        <v>8</v>
      </c>
      <c r="N26" s="7" t="n">
        <v>10</v>
      </c>
      <c r="O26" s="7" t="n">
        <v>18</v>
      </c>
      <c r="P26" s="7" t="n">
        <v>28</v>
      </c>
      <c r="Q26" s="6" t="n">
        <v>10.1</v>
      </c>
      <c r="R26" s="7" t="n">
        <v>10.5</v>
      </c>
      <c r="S26" s="6" t="n">
        <v>15</v>
      </c>
      <c r="T26" s="7" t="n">
        <v>28</v>
      </c>
      <c r="U26" s="8"/>
      <c r="V26" s="8"/>
    </row>
    <row r="27" customFormat="false" ht="26.85" hidden="false" customHeight="false" outlineLevel="0" collapsed="false">
      <c r="A27" s="10" t="s">
        <v>61</v>
      </c>
      <c r="B27" s="6" t="s">
        <v>76</v>
      </c>
      <c r="C27" s="6" t="s">
        <v>45</v>
      </c>
      <c r="D27" s="6"/>
      <c r="E27" s="6" t="n">
        <v>153</v>
      </c>
      <c r="F27" s="7" t="n">
        <v>153</v>
      </c>
      <c r="G27" s="6" t="n">
        <v>0</v>
      </c>
      <c r="H27" s="6" t="n">
        <v>19</v>
      </c>
      <c r="I27" s="6" t="n">
        <v>22</v>
      </c>
      <c r="J27" s="6" t="n">
        <v>26</v>
      </c>
      <c r="K27" s="6" t="n">
        <v>30</v>
      </c>
      <c r="L27" s="7" t="n">
        <v>0</v>
      </c>
      <c r="M27" s="7" t="n">
        <v>19</v>
      </c>
      <c r="N27" s="7" t="n">
        <v>22</v>
      </c>
      <c r="O27" s="7" t="n">
        <v>26</v>
      </c>
      <c r="P27" s="7" t="n">
        <v>30</v>
      </c>
      <c r="Q27" s="6" t="n">
        <v>19.1</v>
      </c>
      <c r="R27" s="7" t="n">
        <v>19.1</v>
      </c>
      <c r="S27" s="6" t="n">
        <v>30</v>
      </c>
      <c r="T27" s="7" t="n">
        <v>30</v>
      </c>
      <c r="U27" s="8"/>
      <c r="V27" s="8"/>
    </row>
    <row r="28" customFormat="false" ht="26.85" hidden="false" customHeight="false" outlineLevel="0" collapsed="false">
      <c r="A28" s="11" t="s">
        <v>77</v>
      </c>
      <c r="B28" s="6" t="s">
        <v>78</v>
      </c>
      <c r="C28" s="6" t="s">
        <v>50</v>
      </c>
      <c r="D28" s="6" t="s">
        <v>79</v>
      </c>
      <c r="E28" s="6" t="n">
        <v>38</v>
      </c>
      <c r="F28" s="7" t="n">
        <v>32</v>
      </c>
      <c r="G28" s="6" t="n">
        <v>0</v>
      </c>
      <c r="H28" s="6" t="n">
        <v>6</v>
      </c>
      <c r="I28" s="6" t="n">
        <v>8</v>
      </c>
      <c r="J28" s="6" t="n">
        <v>10</v>
      </c>
      <c r="K28" s="6" t="n">
        <v>11</v>
      </c>
      <c r="L28" s="7" t="n">
        <v>0</v>
      </c>
      <c r="M28" s="7" t="n">
        <v>5</v>
      </c>
      <c r="N28" s="7" t="n">
        <v>7</v>
      </c>
      <c r="O28" s="7" t="n">
        <v>9</v>
      </c>
      <c r="P28" s="7" t="n">
        <v>10</v>
      </c>
      <c r="Q28" s="6" t="n">
        <v>6.9</v>
      </c>
      <c r="R28" s="7" t="n">
        <v>6</v>
      </c>
      <c r="S28" s="6" t="n">
        <v>11</v>
      </c>
      <c r="T28" s="7" t="n">
        <v>10</v>
      </c>
      <c r="U28" s="8"/>
      <c r="V28" s="8"/>
    </row>
    <row r="29" customFormat="false" ht="26.85" hidden="false" customHeight="false" outlineLevel="0" collapsed="false">
      <c r="A29" s="11" t="s">
        <v>77</v>
      </c>
      <c r="B29" s="6" t="s">
        <v>80</v>
      </c>
      <c r="C29" s="6" t="s">
        <v>26</v>
      </c>
      <c r="D29" s="6" t="s">
        <v>81</v>
      </c>
      <c r="E29" s="6" t="n">
        <v>62</v>
      </c>
      <c r="F29" s="7" t="n">
        <v>46</v>
      </c>
      <c r="G29" s="6" t="n">
        <v>0</v>
      </c>
      <c r="H29" s="6" t="n">
        <v>11</v>
      </c>
      <c r="I29" s="6" t="n">
        <v>13</v>
      </c>
      <c r="J29" s="6" t="n">
        <v>16</v>
      </c>
      <c r="K29" s="6" t="n">
        <v>17</v>
      </c>
      <c r="L29" s="7" t="n">
        <v>0</v>
      </c>
      <c r="M29" s="7" t="n">
        <v>14</v>
      </c>
      <c r="N29" s="7" t="n">
        <v>18</v>
      </c>
      <c r="O29" s="7" t="n">
        <v>24</v>
      </c>
      <c r="P29" s="7" t="n">
        <v>27</v>
      </c>
      <c r="Q29" s="6" t="n">
        <v>11.4</v>
      </c>
      <c r="R29" s="7" t="n">
        <v>16.5</v>
      </c>
      <c r="S29" s="6" t="n">
        <v>17</v>
      </c>
      <c r="T29" s="7" t="n">
        <v>27</v>
      </c>
      <c r="U29" s="8"/>
      <c r="V29" s="8"/>
    </row>
    <row r="30" customFormat="false" ht="26.85" hidden="false" customHeight="false" outlineLevel="0" collapsed="false">
      <c r="A30" s="11" t="s">
        <v>77</v>
      </c>
      <c r="B30" s="6" t="s">
        <v>82</v>
      </c>
      <c r="C30" s="6" t="s">
        <v>26</v>
      </c>
      <c r="D30" s="6" t="s">
        <v>83</v>
      </c>
      <c r="E30" s="6" t="n">
        <v>68</v>
      </c>
      <c r="F30" s="7" t="n">
        <v>51</v>
      </c>
      <c r="G30" s="6" t="n">
        <v>0</v>
      </c>
      <c r="H30" s="6" t="n">
        <v>12</v>
      </c>
      <c r="I30" s="6" t="n">
        <v>11</v>
      </c>
      <c r="J30" s="6" t="n">
        <v>16</v>
      </c>
      <c r="K30" s="6" t="n">
        <v>17</v>
      </c>
      <c r="L30" s="7" t="n">
        <v>0</v>
      </c>
      <c r="M30" s="7" t="n">
        <v>16</v>
      </c>
      <c r="N30" s="7" t="n">
        <v>15</v>
      </c>
      <c r="O30" s="7" t="n">
        <v>24</v>
      </c>
      <c r="P30" s="7" t="n">
        <v>27</v>
      </c>
      <c r="Q30" s="6" t="n">
        <v>11.3</v>
      </c>
      <c r="R30" s="7" t="n">
        <v>16.4</v>
      </c>
      <c r="S30" s="6" t="n">
        <v>17</v>
      </c>
      <c r="T30" s="7" t="n">
        <v>27</v>
      </c>
      <c r="U30" s="8"/>
      <c r="V30" s="8"/>
    </row>
    <row r="31" customFormat="false" ht="26.85" hidden="false" customHeight="false" outlineLevel="0" collapsed="false">
      <c r="A31" s="11" t="s">
        <v>77</v>
      </c>
      <c r="B31" s="6" t="s">
        <v>84</v>
      </c>
      <c r="C31" s="6" t="s">
        <v>32</v>
      </c>
      <c r="D31" s="6" t="s">
        <v>85</v>
      </c>
      <c r="E31" s="6" t="n">
        <v>74</v>
      </c>
      <c r="F31" s="7" t="n">
        <v>67</v>
      </c>
      <c r="G31" s="6" t="n">
        <v>0</v>
      </c>
      <c r="H31" s="6" t="n">
        <v>10</v>
      </c>
      <c r="I31" s="6" t="n">
        <v>9</v>
      </c>
      <c r="J31" s="6" t="n">
        <v>14</v>
      </c>
      <c r="K31" s="6" t="n">
        <v>15</v>
      </c>
      <c r="L31" s="7" t="n">
        <v>0</v>
      </c>
      <c r="M31" s="7" t="n">
        <v>8</v>
      </c>
      <c r="N31" s="7" t="n">
        <v>7</v>
      </c>
      <c r="O31" s="7" t="n">
        <v>11</v>
      </c>
      <c r="P31" s="7" t="n">
        <v>13</v>
      </c>
      <c r="Q31" s="6" t="n">
        <v>9.7</v>
      </c>
      <c r="R31" s="7" t="n">
        <v>7.7</v>
      </c>
      <c r="S31" s="6" t="n">
        <v>15</v>
      </c>
      <c r="T31" s="7" t="n">
        <v>13</v>
      </c>
      <c r="U31" s="8"/>
      <c r="V31" s="8"/>
    </row>
    <row r="32" customFormat="false" ht="26.85" hidden="false" customHeight="false" outlineLevel="0" collapsed="false">
      <c r="A32" s="11" t="s">
        <v>77</v>
      </c>
      <c r="B32" s="6" t="s">
        <v>86</v>
      </c>
      <c r="C32" s="6" t="s">
        <v>29</v>
      </c>
      <c r="D32" s="6" t="s">
        <v>87</v>
      </c>
      <c r="E32" s="6" t="n">
        <v>112</v>
      </c>
      <c r="F32" s="7" t="n">
        <v>140</v>
      </c>
      <c r="G32" s="6" t="n">
        <v>0</v>
      </c>
      <c r="H32" s="6" t="n">
        <v>17</v>
      </c>
      <c r="I32" s="6" t="n">
        <v>15</v>
      </c>
      <c r="J32" s="6" t="n">
        <v>13</v>
      </c>
      <c r="K32" s="6" t="n">
        <v>19</v>
      </c>
      <c r="L32" s="7" t="n">
        <v>0</v>
      </c>
      <c r="M32" s="7" t="n">
        <v>13</v>
      </c>
      <c r="N32" s="7" t="n">
        <v>11</v>
      </c>
      <c r="O32" s="7" t="n">
        <v>10</v>
      </c>
      <c r="P32" s="7" t="n">
        <v>16</v>
      </c>
      <c r="Q32" s="6" t="n">
        <v>11.8</v>
      </c>
      <c r="R32" s="7" t="n">
        <v>9.1</v>
      </c>
      <c r="S32" s="6" t="n">
        <v>19</v>
      </c>
      <c r="T32" s="7" t="n">
        <v>16</v>
      </c>
      <c r="U32" s="8"/>
      <c r="V32" s="8"/>
    </row>
    <row r="33" customFormat="false" ht="26.85" hidden="false" customHeight="false" outlineLevel="0" collapsed="false">
      <c r="A33" s="11" t="s">
        <v>77</v>
      </c>
      <c r="B33" s="6" t="s">
        <v>88</v>
      </c>
      <c r="C33" s="6" t="s">
        <v>38</v>
      </c>
      <c r="D33" s="6" t="s">
        <v>89</v>
      </c>
      <c r="E33" s="6" t="n">
        <v>94</v>
      </c>
      <c r="F33" s="7" t="n">
        <v>89</v>
      </c>
      <c r="G33" s="6" t="n">
        <v>0</v>
      </c>
      <c r="H33" s="6" t="n">
        <v>15</v>
      </c>
      <c r="I33" s="6" t="n">
        <v>18</v>
      </c>
      <c r="J33" s="6" t="n">
        <v>14</v>
      </c>
      <c r="K33" s="6" t="n">
        <v>20</v>
      </c>
      <c r="L33" s="7" t="n">
        <v>0</v>
      </c>
      <c r="M33" s="7" t="n">
        <v>12</v>
      </c>
      <c r="N33" s="7" t="n">
        <v>16</v>
      </c>
      <c r="O33" s="7" t="n">
        <v>20</v>
      </c>
      <c r="P33" s="7" t="n">
        <v>38</v>
      </c>
      <c r="Q33" s="6" t="n">
        <v>12.3</v>
      </c>
      <c r="R33" s="7" t="n">
        <v>14.7</v>
      </c>
      <c r="S33" s="6" t="n">
        <v>20</v>
      </c>
      <c r="T33" s="7" t="n">
        <v>38</v>
      </c>
      <c r="U33" s="8"/>
      <c r="V33" s="8"/>
    </row>
    <row r="34" customFormat="false" ht="26.85" hidden="false" customHeight="false" outlineLevel="0" collapsed="false">
      <c r="A34" s="11" t="s">
        <v>77</v>
      </c>
      <c r="B34" s="6" t="s">
        <v>90</v>
      </c>
      <c r="C34" s="6" t="s">
        <v>45</v>
      </c>
      <c r="D34" s="6"/>
      <c r="E34" s="6" t="n">
        <v>180</v>
      </c>
      <c r="F34" s="7" t="n">
        <v>180</v>
      </c>
      <c r="G34" s="6" t="n">
        <v>0</v>
      </c>
      <c r="H34" s="6" t="n">
        <v>19</v>
      </c>
      <c r="I34" s="6" t="n">
        <v>22</v>
      </c>
      <c r="J34" s="6" t="n">
        <v>25</v>
      </c>
      <c r="K34" s="6" t="n">
        <v>29</v>
      </c>
      <c r="L34" s="7" t="n">
        <v>0</v>
      </c>
      <c r="M34" s="7" t="n">
        <v>19</v>
      </c>
      <c r="N34" s="7" t="n">
        <v>22</v>
      </c>
      <c r="O34" s="7" t="n">
        <v>25</v>
      </c>
      <c r="P34" s="7" t="n">
        <v>29</v>
      </c>
      <c r="Q34" s="6" t="n">
        <v>18.4</v>
      </c>
      <c r="R34" s="7" t="n">
        <v>18.4</v>
      </c>
      <c r="S34" s="6" t="n">
        <v>29</v>
      </c>
      <c r="T34" s="7" t="n">
        <v>29</v>
      </c>
      <c r="U34" s="8"/>
      <c r="V34" s="8"/>
    </row>
    <row r="35" customFormat="false" ht="15" hidden="false" customHeight="false" outlineLevel="0" collapsed="false">
      <c r="A35" s="12" t="s">
        <v>91</v>
      </c>
      <c r="B35" s="6" t="s">
        <v>92</v>
      </c>
      <c r="C35" s="6" t="s">
        <v>26</v>
      </c>
      <c r="D35" s="6" t="s">
        <v>93</v>
      </c>
      <c r="E35" s="6" t="n">
        <v>38</v>
      </c>
      <c r="F35" s="7" t="n">
        <v>28</v>
      </c>
      <c r="G35" s="6" t="n">
        <v>0</v>
      </c>
      <c r="H35" s="6" t="n">
        <v>11</v>
      </c>
      <c r="I35" s="6" t="n">
        <v>8</v>
      </c>
      <c r="J35" s="6" t="n">
        <v>6</v>
      </c>
      <c r="K35" s="6" t="n">
        <v>13</v>
      </c>
      <c r="L35" s="7" t="n">
        <v>0</v>
      </c>
      <c r="M35" s="7" t="n">
        <v>14</v>
      </c>
      <c r="N35" s="7" t="n">
        <v>11</v>
      </c>
      <c r="O35" s="7" t="n">
        <v>9</v>
      </c>
      <c r="P35" s="7" t="n">
        <v>21</v>
      </c>
      <c r="Q35" s="6" t="n">
        <v>5.6</v>
      </c>
      <c r="R35" s="7" t="n">
        <v>8</v>
      </c>
      <c r="S35" s="6" t="n">
        <v>13</v>
      </c>
      <c r="T35" s="7" t="n">
        <v>21</v>
      </c>
      <c r="U35" s="8"/>
      <c r="V35" s="8"/>
    </row>
    <row r="36" customFormat="false" ht="26.85" hidden="false" customHeight="false" outlineLevel="0" collapsed="false">
      <c r="A36" s="12" t="s">
        <v>91</v>
      </c>
      <c r="B36" s="6" t="s">
        <v>94</v>
      </c>
      <c r="C36" s="6" t="s">
        <v>35</v>
      </c>
      <c r="D36" s="6" t="s">
        <v>95</v>
      </c>
      <c r="E36" s="6" t="n">
        <v>42</v>
      </c>
      <c r="F36" s="7" t="n">
        <v>44</v>
      </c>
      <c r="G36" s="6" t="n">
        <v>0</v>
      </c>
      <c r="H36" s="6" t="n">
        <v>12</v>
      </c>
      <c r="I36" s="6" t="n">
        <v>9</v>
      </c>
      <c r="J36" s="6" t="n">
        <v>7</v>
      </c>
      <c r="K36" s="6" t="n">
        <v>14</v>
      </c>
      <c r="L36" s="7" t="n">
        <v>0</v>
      </c>
      <c r="M36" s="7" t="n">
        <v>13</v>
      </c>
      <c r="N36" s="7" t="n">
        <v>10</v>
      </c>
      <c r="O36" s="7" t="n">
        <v>8</v>
      </c>
      <c r="P36" s="7" t="n">
        <v>15</v>
      </c>
      <c r="Q36" s="6" t="n">
        <v>6.3</v>
      </c>
      <c r="R36" s="7" t="n">
        <v>7</v>
      </c>
      <c r="S36" s="6" t="n">
        <v>14</v>
      </c>
      <c r="T36" s="7" t="n">
        <v>15</v>
      </c>
      <c r="U36" s="8"/>
      <c r="V36" s="8"/>
    </row>
    <row r="37" customFormat="false" ht="26.85" hidden="false" customHeight="false" outlineLevel="0" collapsed="false">
      <c r="A37" s="12" t="s">
        <v>91</v>
      </c>
      <c r="B37" s="6" t="s">
        <v>96</v>
      </c>
      <c r="C37" s="6" t="s">
        <v>26</v>
      </c>
      <c r="D37" s="6" t="s">
        <v>97</v>
      </c>
      <c r="E37" s="6" t="n">
        <v>34</v>
      </c>
      <c r="F37" s="7" t="n">
        <v>26</v>
      </c>
      <c r="G37" s="6" t="n">
        <v>0</v>
      </c>
      <c r="H37" s="6" t="n">
        <v>12</v>
      </c>
      <c r="I37" s="6" t="n">
        <v>9</v>
      </c>
      <c r="J37" s="6" t="n">
        <v>7</v>
      </c>
      <c r="K37" s="6" t="n">
        <v>14</v>
      </c>
      <c r="L37" s="7" t="n">
        <v>0</v>
      </c>
      <c r="M37" s="7" t="n">
        <v>16</v>
      </c>
      <c r="N37" s="7" t="n">
        <v>13</v>
      </c>
      <c r="O37" s="7" t="n">
        <v>10</v>
      </c>
      <c r="P37" s="7" t="n">
        <v>22</v>
      </c>
      <c r="Q37" s="6" t="n">
        <v>6.3</v>
      </c>
      <c r="R37" s="7" t="n">
        <v>8.9</v>
      </c>
      <c r="S37" s="6" t="n">
        <v>14</v>
      </c>
      <c r="T37" s="7" t="n">
        <v>22</v>
      </c>
      <c r="U37" s="8"/>
      <c r="V37" s="8"/>
    </row>
    <row r="38" customFormat="false" ht="26.85" hidden="false" customHeight="false" outlineLevel="0" collapsed="false">
      <c r="A38" s="12" t="s">
        <v>91</v>
      </c>
      <c r="B38" s="6" t="s">
        <v>98</v>
      </c>
      <c r="C38" s="6" t="s">
        <v>26</v>
      </c>
      <c r="D38" s="6" t="s">
        <v>99</v>
      </c>
      <c r="E38" s="6" t="n">
        <v>74</v>
      </c>
      <c r="F38" s="7" t="n">
        <v>56</v>
      </c>
      <c r="G38" s="6" t="n">
        <v>0</v>
      </c>
      <c r="H38" s="6" t="n">
        <v>10</v>
      </c>
      <c r="I38" s="6" t="n">
        <v>12</v>
      </c>
      <c r="J38" s="6" t="n">
        <v>15</v>
      </c>
      <c r="K38" s="6" t="n">
        <v>17</v>
      </c>
      <c r="L38" s="7" t="n">
        <v>0</v>
      </c>
      <c r="M38" s="7" t="n">
        <v>13</v>
      </c>
      <c r="N38" s="7" t="n">
        <v>17</v>
      </c>
      <c r="O38" s="7" t="n">
        <v>22</v>
      </c>
      <c r="P38" s="7" t="n">
        <v>27</v>
      </c>
      <c r="Q38" s="6" t="n">
        <v>9.6</v>
      </c>
      <c r="R38" s="7" t="n">
        <v>13.8</v>
      </c>
      <c r="S38" s="6" t="n">
        <v>17</v>
      </c>
      <c r="T38" s="7" t="n">
        <v>27</v>
      </c>
      <c r="U38" s="8"/>
      <c r="V38" s="8"/>
    </row>
    <row r="39" customFormat="false" ht="15" hidden="false" customHeight="false" outlineLevel="0" collapsed="false">
      <c r="A39" s="12" t="s">
        <v>91</v>
      </c>
      <c r="B39" s="6" t="s">
        <v>100</v>
      </c>
      <c r="C39" s="6" t="s">
        <v>35</v>
      </c>
      <c r="D39" s="6" t="s">
        <v>101</v>
      </c>
      <c r="E39" s="6" t="n">
        <v>86</v>
      </c>
      <c r="F39" s="7" t="n">
        <v>90</v>
      </c>
      <c r="G39" s="6" t="n">
        <v>0</v>
      </c>
      <c r="H39" s="6" t="n">
        <v>9</v>
      </c>
      <c r="I39" s="6" t="n">
        <v>11</v>
      </c>
      <c r="J39" s="6" t="n">
        <v>14</v>
      </c>
      <c r="K39" s="6" t="n">
        <v>12</v>
      </c>
      <c r="L39" s="7" t="n">
        <v>0</v>
      </c>
      <c r="M39" s="7" t="n">
        <v>10</v>
      </c>
      <c r="N39" s="7" t="n">
        <v>12</v>
      </c>
      <c r="O39" s="7" t="n">
        <v>15</v>
      </c>
      <c r="P39" s="7" t="n">
        <v>13</v>
      </c>
      <c r="Q39" s="6" t="n">
        <v>8.7</v>
      </c>
      <c r="R39" s="7" t="n">
        <v>9.3</v>
      </c>
      <c r="S39" s="6" t="n">
        <v>14</v>
      </c>
      <c r="T39" s="7" t="n">
        <v>15</v>
      </c>
      <c r="U39" s="8"/>
      <c r="V39" s="8"/>
    </row>
    <row r="40" customFormat="false" ht="15" hidden="false" customHeight="false" outlineLevel="0" collapsed="false">
      <c r="A40" s="12" t="s">
        <v>91</v>
      </c>
      <c r="B40" s="6" t="s">
        <v>102</v>
      </c>
      <c r="C40" s="6" t="s">
        <v>29</v>
      </c>
      <c r="D40" s="6" t="s">
        <v>103</v>
      </c>
      <c r="E40" s="6" t="n">
        <v>112</v>
      </c>
      <c r="F40" s="7" t="n">
        <v>140</v>
      </c>
      <c r="G40" s="6" t="n">
        <v>0</v>
      </c>
      <c r="H40" s="6" t="n">
        <v>11</v>
      </c>
      <c r="I40" s="6" t="n">
        <v>13</v>
      </c>
      <c r="J40" s="6" t="n">
        <v>16</v>
      </c>
      <c r="K40" s="6" t="n">
        <v>15</v>
      </c>
      <c r="L40" s="7" t="n">
        <v>0</v>
      </c>
      <c r="M40" s="7" t="n">
        <v>8</v>
      </c>
      <c r="N40" s="7" t="n">
        <v>10</v>
      </c>
      <c r="O40" s="7" t="n">
        <v>13</v>
      </c>
      <c r="P40" s="7" t="n">
        <v>13</v>
      </c>
      <c r="Q40" s="6" t="n">
        <v>10.3</v>
      </c>
      <c r="R40" s="7" t="n">
        <v>8.2</v>
      </c>
      <c r="S40" s="6" t="n">
        <v>16</v>
      </c>
      <c r="T40" s="7" t="n">
        <v>13</v>
      </c>
      <c r="U40" s="8"/>
      <c r="V40" s="8"/>
    </row>
    <row r="41" customFormat="false" ht="15" hidden="false" customHeight="false" outlineLevel="0" collapsed="false">
      <c r="A41" s="12" t="s">
        <v>91</v>
      </c>
      <c r="B41" s="6" t="s">
        <v>104</v>
      </c>
      <c r="C41" s="6" t="s">
        <v>38</v>
      </c>
      <c r="D41" s="6" t="s">
        <v>105</v>
      </c>
      <c r="E41" s="6" t="n">
        <v>98</v>
      </c>
      <c r="F41" s="7" t="n">
        <v>93</v>
      </c>
      <c r="G41" s="6" t="n">
        <v>0</v>
      </c>
      <c r="H41" s="6" t="n">
        <v>10</v>
      </c>
      <c r="I41" s="6" t="n">
        <v>12</v>
      </c>
      <c r="J41" s="6" t="n">
        <v>16</v>
      </c>
      <c r="K41" s="6" t="n">
        <v>20</v>
      </c>
      <c r="L41" s="7" t="n">
        <v>0</v>
      </c>
      <c r="M41" s="7" t="n">
        <v>8</v>
      </c>
      <c r="N41" s="7" t="n">
        <v>11</v>
      </c>
      <c r="O41" s="7" t="n">
        <v>22</v>
      </c>
      <c r="P41" s="7" t="n">
        <v>38</v>
      </c>
      <c r="Q41" s="6" t="n">
        <v>10.2</v>
      </c>
      <c r="R41" s="7" t="n">
        <v>12.3</v>
      </c>
      <c r="S41" s="6" t="n">
        <v>20</v>
      </c>
      <c r="T41" s="7" t="n">
        <v>38</v>
      </c>
      <c r="U41" s="8"/>
      <c r="V41" s="8"/>
    </row>
    <row r="42" customFormat="false" ht="26.85" hidden="false" customHeight="false" outlineLevel="0" collapsed="false">
      <c r="A42" s="12" t="s">
        <v>91</v>
      </c>
      <c r="B42" s="6" t="s">
        <v>106</v>
      </c>
      <c r="C42" s="6" t="s">
        <v>45</v>
      </c>
      <c r="D42" s="6"/>
      <c r="E42" s="6" t="n">
        <v>180</v>
      </c>
      <c r="F42" s="7" t="n">
        <v>180</v>
      </c>
      <c r="G42" s="6" t="n">
        <v>0</v>
      </c>
      <c r="H42" s="6" t="n">
        <v>19</v>
      </c>
      <c r="I42" s="6" t="n">
        <v>20</v>
      </c>
      <c r="J42" s="6" t="n">
        <v>24</v>
      </c>
      <c r="K42" s="6" t="n">
        <v>26</v>
      </c>
      <c r="L42" s="7" t="n">
        <v>0</v>
      </c>
      <c r="M42" s="7" t="n">
        <v>19</v>
      </c>
      <c r="N42" s="7" t="n">
        <v>20</v>
      </c>
      <c r="O42" s="7" t="n">
        <v>24</v>
      </c>
      <c r="P42" s="7" t="n">
        <v>26</v>
      </c>
      <c r="Q42" s="6" t="n">
        <v>15.5</v>
      </c>
      <c r="R42" s="7" t="n">
        <v>15.5</v>
      </c>
      <c r="S42" s="6" t="n">
        <v>26</v>
      </c>
      <c r="T42" s="7" t="n">
        <v>26</v>
      </c>
      <c r="U42" s="8"/>
      <c r="V42" s="8"/>
    </row>
    <row r="44" customFormat="false" ht="15" hidden="false" customHeight="false" outlineLevel="0" collapsed="false">
      <c r="A44" s="13" t="s">
        <v>107</v>
      </c>
    </row>
    <row r="45" customFormat="false" ht="15" hidden="false" customHeight="false" outlineLevel="0" collapsed="false">
      <c r="A45" s="14" t="s">
        <v>2</v>
      </c>
      <c r="B45" s="14" t="s">
        <v>108</v>
      </c>
      <c r="C45" s="14" t="s">
        <v>109</v>
      </c>
      <c r="D45" s="14" t="s">
        <v>110</v>
      </c>
      <c r="E45" s="14" t="s">
        <v>111</v>
      </c>
    </row>
    <row r="46" customFormat="false" ht="15" hidden="false" customHeight="false" outlineLevel="0" collapsed="false">
      <c r="A46" s="15" t="s">
        <v>24</v>
      </c>
      <c r="B46" s="16" t="n">
        <f aca="false">ROUND(AVERAGEIFS(E$5:E$42,$A$5:$A$42,"Facility",$C$5:$C$42,"&lt;&gt;Boss (unchanged)"),1)</f>
        <v>58.6</v>
      </c>
      <c r="C46" s="16" t="n">
        <f aca="false">ROUND(AVERAGEIFS(F$5:F$42,$A$5:$A$42,"Facility",$C$5:$C$42,"&lt;&gt;Boss (unchanged)"),1)</f>
        <v>61.6</v>
      </c>
      <c r="D46" s="16" t="n">
        <f aca="false">ROUND(AVERAGEIFS(Q$5:Q$42,$A$5:$A$42,"Facility",$C$5:$C$42,"&lt;&gt;Boss (unchanged)"),1)</f>
        <v>10.6</v>
      </c>
      <c r="E46" s="16" t="n">
        <f aca="false">ROUND(AVERAGEIFS(R$5:R$42,$A$5:$A$42,"Facility",$C$5:$C$42,"&lt;&gt;Boss (unchanged)"),1)</f>
        <v>10.9</v>
      </c>
    </row>
    <row r="47" customFormat="false" ht="15" hidden="false" customHeight="false" outlineLevel="0" collapsed="false">
      <c r="A47" s="15" t="s">
        <v>46</v>
      </c>
      <c r="B47" s="16" t="n">
        <f aca="false">ROUND(AVERAGEIFS(E$5:E$42,$A$5:$A$42,"Hive",$C$5:$C$42,"&lt;&gt;Boss (unchanged)"),1)</f>
        <v>60.8</v>
      </c>
      <c r="C47" s="16" t="n">
        <f aca="false">ROUND(AVERAGEIFS(F$5:F$42,$A$5:$A$42,"Hive",$C$5:$C$42,"&lt;&gt;Boss (unchanged)"),1)</f>
        <v>59.3</v>
      </c>
      <c r="D47" s="16" t="n">
        <f aca="false">ROUND(AVERAGEIFS(Q$5:Q$42,$A$5:$A$42,"Hive",$C$5:$C$42,"&lt;&gt;Boss (unchanged)"),1)</f>
        <v>8.9</v>
      </c>
      <c r="E47" s="16" t="n">
        <f aca="false">ROUND(AVERAGEIFS(R$5:R$42,$A$5:$A$42,"Hive",$C$5:$C$42,"&lt;&gt;Boss (unchanged)"),1)</f>
        <v>9.7</v>
      </c>
    </row>
    <row r="48" customFormat="false" ht="15" hidden="false" customHeight="false" outlineLevel="0" collapsed="false">
      <c r="A48" s="15" t="s">
        <v>61</v>
      </c>
      <c r="B48" s="16" t="n">
        <f aca="false">ROUND(AVERAGEIFS(E$5:E$42,$A$5:$A$42,"Veil",$C$5:$C$42,"&lt;&gt;Boss (unchanged)"),1)</f>
        <v>62.7</v>
      </c>
      <c r="C48" s="16" t="n">
        <f aca="false">ROUND(AVERAGEIFS(F$5:F$42,$A$5:$A$42,"Veil",$C$5:$C$42,"&lt;&gt;Boss (unchanged)"),1)</f>
        <v>61.7</v>
      </c>
      <c r="D48" s="16" t="n">
        <f aca="false">ROUND(AVERAGEIFS(Q$5:Q$42,$A$5:$A$42,"Veil",$C$5:$C$42,"&lt;&gt;Boss (unchanged)"),1)</f>
        <v>10.8</v>
      </c>
      <c r="E48" s="16" t="n">
        <f aca="false">ROUND(AVERAGEIFS(R$5:R$42,$A$5:$A$42,"Veil",$C$5:$C$42,"&lt;&gt;Boss (unchanged)"),1)</f>
        <v>11.4</v>
      </c>
    </row>
    <row r="49" customFormat="false" ht="15" hidden="false" customHeight="false" outlineLevel="0" collapsed="false">
      <c r="A49" s="15" t="s">
        <v>77</v>
      </c>
      <c r="B49" s="16" t="n">
        <f aca="false">ROUND(AVERAGEIFS(E$5:E$42,$A$5:$A$42,"Signal Purge",$C$5:$C$42,"&lt;&gt;Boss (unchanged)"),1)</f>
        <v>74.7</v>
      </c>
      <c r="C49" s="16" t="n">
        <f aca="false">ROUND(AVERAGEIFS(F$5:F$42,$A$5:$A$42,"Signal Purge",$C$5:$C$42,"&lt;&gt;Boss (unchanged)"),1)</f>
        <v>70.8</v>
      </c>
      <c r="D49" s="16" t="n">
        <f aca="false">ROUND(AVERAGEIFS(Q$5:Q$42,$A$5:$A$42,"Signal Purge",$C$5:$C$42,"&lt;&gt;Boss (unchanged)"),1)</f>
        <v>10.6</v>
      </c>
      <c r="E49" s="16" t="n">
        <f aca="false">ROUND(AVERAGEIFS(R$5:R$42,$A$5:$A$42,"Signal Purge",$C$5:$C$42,"&lt;&gt;Boss (unchanged)"),1)</f>
        <v>11.7</v>
      </c>
    </row>
    <row r="50" customFormat="false" ht="15" hidden="false" customHeight="false" outlineLevel="0" collapsed="false">
      <c r="A50" s="15" t="s">
        <v>91</v>
      </c>
      <c r="B50" s="16" t="n">
        <f aca="false">ROUND(AVERAGEIFS(E$5:E$42,$A$5:$A$42,"Mantle Hunt",$C$5:$C$42,"&lt;&gt;Boss (unchanged)"),1)</f>
        <v>69.1</v>
      </c>
      <c r="C50" s="16" t="n">
        <f aca="false">ROUND(AVERAGEIFS(F$5:F$42,$A$5:$A$42,"Mantle Hunt",$C$5:$C$42,"&lt;&gt;Boss (unchanged)"),1)</f>
        <v>68.1</v>
      </c>
      <c r="D50" s="16" t="n">
        <f aca="false">ROUND(AVERAGEIFS(Q$5:Q$42,$A$5:$A$42,"Mantle Hunt",$C$5:$C$42,"&lt;&gt;Boss (unchanged)"),1)</f>
        <v>8.1</v>
      </c>
      <c r="E50" s="16" t="n">
        <f aca="false">ROUND(AVERAGEIFS(R$5:R$42,$A$5:$A$42,"Mantle Hunt",$C$5:$C$42,"&lt;&gt;Boss (unchanged)"),1)</f>
        <v>9.6</v>
      </c>
    </row>
  </sheetData>
  <autoFilter ref="A4:V42"/>
  <mergeCells count="1">
    <mergeCell ref="A2:V2"/>
  </mergeCells>
  <conditionalFormatting sqref="R5:R42">
    <cfRule type="cellIs" priority="2" operator="greaterThan" aboveAverage="0" equalAverage="0" bottom="0" percent="0" rank="0" text="" dxfId="12">
      <formula>Q5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7"/>
    <col collapsed="false" customWidth="true" hidden="false" outlineLevel="0" max="8" min="4" style="0" width="1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112</v>
      </c>
    </row>
    <row r="3" customFormat="false" ht="26.85" hidden="false" customHeight="false" outlineLevel="0" collapsed="false">
      <c r="A3" s="3" t="s">
        <v>4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117</v>
      </c>
      <c r="G3" s="3" t="s">
        <v>118</v>
      </c>
      <c r="H3" s="3" t="s">
        <v>119</v>
      </c>
      <c r="I3" s="3" t="s">
        <v>120</v>
      </c>
    </row>
    <row r="4" customFormat="false" ht="15" hidden="false" customHeight="false" outlineLevel="0" collapsed="false">
      <c r="A4" s="6" t="s">
        <v>26</v>
      </c>
      <c r="B4" s="6" t="s">
        <v>121</v>
      </c>
      <c r="C4" s="6" t="n">
        <v>0.75</v>
      </c>
      <c r="D4" s="6" t="n">
        <v>1</v>
      </c>
      <c r="E4" s="6" t="n">
        <v>1.3</v>
      </c>
      <c r="F4" s="6" t="n">
        <v>1.4</v>
      </c>
      <c r="G4" s="6" t="n">
        <v>1.5</v>
      </c>
      <c r="H4" s="6" t="n">
        <v>1.6</v>
      </c>
      <c r="I4" s="8"/>
    </row>
    <row r="5" customFormat="false" ht="15" hidden="false" customHeight="false" outlineLevel="0" collapsed="false">
      <c r="A5" s="6" t="s">
        <v>38</v>
      </c>
      <c r="B5" s="6" t="s">
        <v>122</v>
      </c>
      <c r="C5" s="6" t="n">
        <v>0.95</v>
      </c>
      <c r="D5" s="6" t="n">
        <v>0.7</v>
      </c>
      <c r="E5" s="6" t="n">
        <v>0.8</v>
      </c>
      <c r="F5" s="6" t="n">
        <v>0.9</v>
      </c>
      <c r="G5" s="6" t="n">
        <v>1.4</v>
      </c>
      <c r="H5" s="6" t="n">
        <v>1.9</v>
      </c>
      <c r="I5" s="8"/>
    </row>
    <row r="6" customFormat="false" ht="26.85" hidden="false" customHeight="false" outlineLevel="0" collapsed="false">
      <c r="A6" s="6" t="s">
        <v>35</v>
      </c>
      <c r="B6" s="6" t="s">
        <v>123</v>
      </c>
      <c r="C6" s="6" t="n">
        <v>1.05</v>
      </c>
      <c r="D6" s="6" t="n">
        <v>1.1</v>
      </c>
      <c r="E6" s="6" t="n">
        <v>1.1</v>
      </c>
      <c r="F6" s="6" t="n">
        <v>1.1</v>
      </c>
      <c r="G6" s="6" t="n">
        <v>1.1</v>
      </c>
      <c r="H6" s="6" t="n">
        <v>1.1</v>
      </c>
      <c r="I6" s="8"/>
    </row>
    <row r="7" customFormat="false" ht="15" hidden="false" customHeight="false" outlineLevel="0" collapsed="false">
      <c r="A7" s="6" t="s">
        <v>29</v>
      </c>
      <c r="B7" s="6" t="s">
        <v>124</v>
      </c>
      <c r="C7" s="6" t="n">
        <v>1.25</v>
      </c>
      <c r="D7" s="6" t="n">
        <v>0.7</v>
      </c>
      <c r="E7" s="6" t="n">
        <v>0.75</v>
      </c>
      <c r="F7" s="6" t="n">
        <v>0.75</v>
      </c>
      <c r="G7" s="6" t="n">
        <v>0.8</v>
      </c>
      <c r="H7" s="6" t="n">
        <v>0.85</v>
      </c>
      <c r="I7" s="8"/>
    </row>
    <row r="8" customFormat="false" ht="26.85" hidden="false" customHeight="false" outlineLevel="0" collapsed="false">
      <c r="A8" s="6" t="s">
        <v>32</v>
      </c>
      <c r="B8" s="6" t="s">
        <v>125</v>
      </c>
      <c r="C8" s="6" t="n">
        <v>0.9</v>
      </c>
      <c r="D8" s="6" t="n">
        <v>0.75</v>
      </c>
      <c r="E8" s="6" t="n">
        <v>0.75</v>
      </c>
      <c r="F8" s="6" t="n">
        <v>0.8</v>
      </c>
      <c r="G8" s="6" t="n">
        <v>0.8</v>
      </c>
      <c r="H8" s="6" t="n">
        <v>0.85</v>
      </c>
      <c r="I8" s="8"/>
    </row>
    <row r="9" customFormat="false" ht="15" hidden="false" customHeight="false" outlineLevel="0" collapsed="false">
      <c r="A9" s="6" t="s">
        <v>50</v>
      </c>
      <c r="B9" s="6" t="s">
        <v>126</v>
      </c>
      <c r="C9" s="6" t="n">
        <v>0.85</v>
      </c>
      <c r="D9" s="6" t="n">
        <v>0.9</v>
      </c>
      <c r="E9" s="6" t="n">
        <v>0.9</v>
      </c>
      <c r="F9" s="6" t="n">
        <v>0.9</v>
      </c>
      <c r="G9" s="6" t="n">
        <v>0.9</v>
      </c>
      <c r="H9" s="6" t="n">
        <v>0.9</v>
      </c>
      <c r="I9" s="8"/>
    </row>
    <row r="10" customFormat="false" ht="15" hidden="false" customHeight="false" outlineLevel="0" collapsed="false">
      <c r="A10" s="6" t="s">
        <v>45</v>
      </c>
      <c r="B10" s="6" t="s">
        <v>127</v>
      </c>
      <c r="C10" s="6" t="n">
        <v>1</v>
      </c>
      <c r="D10" s="6" t="n">
        <v>1</v>
      </c>
      <c r="E10" s="6" t="n">
        <v>1</v>
      </c>
      <c r="F10" s="6" t="n">
        <v>1</v>
      </c>
      <c r="G10" s="6" t="n">
        <v>1</v>
      </c>
      <c r="H10" s="6" t="n">
        <v>1</v>
      </c>
      <c r="I10" s="8"/>
    </row>
    <row r="13" customFormat="false" ht="15" hidden="false" customHeight="false" outlineLevel="0" collapsed="false">
      <c r="A13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8"/>
    <col collapsed="false" customWidth="true" hidden="false" outlineLevel="0" max="5" min="4" style="0" width="48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129</v>
      </c>
    </row>
    <row r="3" customFormat="false" ht="48" hidden="false" customHeight="true" outlineLevel="0" collapsed="false">
      <c r="A3" s="18" t="s">
        <v>130</v>
      </c>
      <c r="B3" s="6" t="s">
        <v>131</v>
      </c>
    </row>
    <row r="4" customFormat="false" ht="48" hidden="false" customHeight="true" outlineLevel="0" collapsed="false">
      <c r="A4" s="18" t="s">
        <v>5</v>
      </c>
      <c r="B4" s="6" t="s">
        <v>132</v>
      </c>
    </row>
    <row r="5" customFormat="false" ht="48" hidden="false" customHeight="true" outlineLevel="0" collapsed="false">
      <c r="A5" s="18" t="s">
        <v>133</v>
      </c>
      <c r="B5" s="6" t="s">
        <v>134</v>
      </c>
    </row>
    <row r="6" customFormat="false" ht="48" hidden="false" customHeight="true" outlineLevel="0" collapsed="false">
      <c r="A6" s="18" t="s">
        <v>135</v>
      </c>
      <c r="B6" s="6" t="s">
        <v>136</v>
      </c>
    </row>
    <row r="7" customFormat="false" ht="48" hidden="false" customHeight="true" outlineLevel="0" collapsed="false">
      <c r="A7" s="18" t="s">
        <v>137</v>
      </c>
      <c r="B7" s="6" t="s">
        <v>138</v>
      </c>
    </row>
    <row r="8" customFormat="false" ht="48" hidden="false" customHeight="true" outlineLevel="0" collapsed="false">
      <c r="A8" s="18" t="s">
        <v>139</v>
      </c>
      <c r="B8" s="6" t="s">
        <v>140</v>
      </c>
    </row>
    <row r="9" customFormat="false" ht="48" hidden="false" customHeight="true" outlineLevel="0" collapsed="false">
      <c r="A9" s="18" t="s">
        <v>141</v>
      </c>
      <c r="B9" s="6" t="s">
        <v>142</v>
      </c>
    </row>
    <row r="10" customFormat="false" ht="48" hidden="false" customHeight="true" outlineLevel="0" collapsed="false">
      <c r="A10" s="18" t="s">
        <v>143</v>
      </c>
      <c r="B10" s="6" t="s">
        <v>144</v>
      </c>
    </row>
    <row r="12" customFormat="false" ht="15" hidden="false" customHeight="false" outlineLevel="0" collapsed="false">
      <c r="A12" s="13" t="s">
        <v>145</v>
      </c>
    </row>
    <row r="13" customFormat="false" ht="15" hidden="false" customHeight="false" outlineLevel="0" collapsed="false">
      <c r="A13" s="14" t="s">
        <v>3</v>
      </c>
      <c r="B13" s="14" t="s">
        <v>146</v>
      </c>
      <c r="C13" s="14" t="s">
        <v>147</v>
      </c>
      <c r="D13" s="14" t="s">
        <v>148</v>
      </c>
      <c r="E13" s="14" t="s">
        <v>149</v>
      </c>
      <c r="F13" s="14" t="s">
        <v>150</v>
      </c>
    </row>
    <row r="14" customFormat="false" ht="15" hidden="false" customHeight="false" outlineLevel="0" collapsed="false">
      <c r="A14" s="6" t="s">
        <v>151</v>
      </c>
      <c r="B14" s="6" t="n">
        <v>1</v>
      </c>
      <c r="C14" s="6" t="s">
        <v>152</v>
      </c>
      <c r="D14" s="6" t="s">
        <v>153</v>
      </c>
      <c r="E14" s="6" t="s">
        <v>154</v>
      </c>
      <c r="F14" s="8"/>
    </row>
    <row r="15" customFormat="false" ht="15" hidden="false" customHeight="false" outlineLevel="0" collapsed="false">
      <c r="A15" s="6"/>
      <c r="B15" s="6" t="n">
        <v>2</v>
      </c>
      <c r="C15" s="6" t="s">
        <v>155</v>
      </c>
      <c r="D15" s="6" t="s">
        <v>156</v>
      </c>
      <c r="E15" s="6" t="s">
        <v>157</v>
      </c>
      <c r="F15" s="8"/>
    </row>
    <row r="16" customFormat="false" ht="15" hidden="false" customHeight="false" outlineLevel="0" collapsed="false">
      <c r="A16" s="6"/>
      <c r="B16" s="6" t="n">
        <v>3</v>
      </c>
      <c r="C16" s="6" t="s">
        <v>158</v>
      </c>
      <c r="D16" s="6" t="s">
        <v>159</v>
      </c>
      <c r="E16" s="6" t="s">
        <v>159</v>
      </c>
      <c r="F16" s="8"/>
    </row>
    <row r="17" customFormat="false" ht="15" hidden="false" customHeight="false" outlineLevel="0" collapsed="false">
      <c r="A17" s="6"/>
      <c r="B17" s="6" t="n">
        <v>4</v>
      </c>
      <c r="C17" s="6" t="s">
        <v>160</v>
      </c>
      <c r="D17" s="6" t="s">
        <v>157</v>
      </c>
      <c r="E17" s="6" t="s">
        <v>156</v>
      </c>
      <c r="F17" s="8"/>
    </row>
    <row r="18" customFormat="false" ht="15" hidden="false" customHeight="false" outlineLevel="0" collapsed="false">
      <c r="A18" s="6"/>
      <c r="B18" s="6" t="n">
        <v>5</v>
      </c>
      <c r="C18" s="6" t="s">
        <v>161</v>
      </c>
      <c r="D18" s="6" t="s">
        <v>154</v>
      </c>
      <c r="E18" s="6" t="s">
        <v>153</v>
      </c>
      <c r="F18" s="8"/>
    </row>
    <row r="19" customFormat="false" ht="15" hidden="false" customHeight="false" outlineLevel="0" collapsed="false">
      <c r="A19" s="6" t="s">
        <v>162</v>
      </c>
      <c r="B19" s="6" t="n">
        <v>1</v>
      </c>
      <c r="C19" s="6" t="s">
        <v>152</v>
      </c>
      <c r="D19" s="6" t="s">
        <v>163</v>
      </c>
      <c r="E19" s="6" t="s">
        <v>164</v>
      </c>
      <c r="F19" s="8"/>
    </row>
    <row r="20" customFormat="false" ht="15" hidden="false" customHeight="false" outlineLevel="0" collapsed="false">
      <c r="A20" s="6"/>
      <c r="B20" s="6" t="n">
        <v>2</v>
      </c>
      <c r="C20" s="6" t="s">
        <v>155</v>
      </c>
      <c r="D20" s="6" t="s">
        <v>165</v>
      </c>
      <c r="E20" s="6" t="s">
        <v>166</v>
      </c>
      <c r="F20" s="8"/>
    </row>
    <row r="21" customFormat="false" ht="15" hidden="false" customHeight="false" outlineLevel="0" collapsed="false">
      <c r="A21" s="6"/>
      <c r="B21" s="6" t="n">
        <v>3</v>
      </c>
      <c r="C21" s="6" t="s">
        <v>167</v>
      </c>
      <c r="D21" s="6" t="s">
        <v>168</v>
      </c>
      <c r="E21" s="6" t="s">
        <v>168</v>
      </c>
      <c r="F21" s="8"/>
    </row>
    <row r="22" customFormat="false" ht="15" hidden="false" customHeight="false" outlineLevel="0" collapsed="false">
      <c r="A22" s="6"/>
      <c r="B22" s="6" t="n">
        <v>4</v>
      </c>
      <c r="C22" s="6" t="s">
        <v>169</v>
      </c>
      <c r="D22" s="6" t="s">
        <v>166</v>
      </c>
      <c r="E22" s="6" t="s">
        <v>165</v>
      </c>
      <c r="F22" s="8"/>
    </row>
    <row r="23" customFormat="false" ht="15" hidden="false" customHeight="false" outlineLevel="0" collapsed="false">
      <c r="A23" s="6"/>
      <c r="B23" s="6" t="n">
        <v>5</v>
      </c>
      <c r="C23" s="6" t="s">
        <v>161</v>
      </c>
      <c r="D23" s="6" t="s">
        <v>164</v>
      </c>
      <c r="E23" s="6" t="s">
        <v>163</v>
      </c>
      <c r="F23" s="8"/>
    </row>
    <row r="24" customFormat="false" ht="26.85" hidden="false" customHeight="false" outlineLevel="0" collapsed="false">
      <c r="A24" s="6" t="s">
        <v>170</v>
      </c>
      <c r="B24" s="6" t="n">
        <v>1</v>
      </c>
      <c r="C24" s="6" t="s">
        <v>152</v>
      </c>
      <c r="D24" s="6" t="s">
        <v>171</v>
      </c>
      <c r="E24" s="6" t="s">
        <v>172</v>
      </c>
      <c r="F24" s="8"/>
    </row>
    <row r="25" customFormat="false" ht="15" hidden="false" customHeight="false" outlineLevel="0" collapsed="false">
      <c r="A25" s="6"/>
      <c r="B25" s="6" t="n">
        <v>2</v>
      </c>
      <c r="C25" s="6" t="s">
        <v>155</v>
      </c>
      <c r="D25" s="6" t="s">
        <v>173</v>
      </c>
      <c r="E25" s="6" t="s">
        <v>174</v>
      </c>
      <c r="F25" s="8"/>
    </row>
    <row r="26" customFormat="false" ht="15" hidden="false" customHeight="false" outlineLevel="0" collapsed="false">
      <c r="A26" s="6"/>
      <c r="B26" s="6" t="n">
        <v>3</v>
      </c>
      <c r="C26" s="6" t="s">
        <v>167</v>
      </c>
      <c r="D26" s="6" t="s">
        <v>175</v>
      </c>
      <c r="E26" s="6" t="s">
        <v>175</v>
      </c>
      <c r="F26" s="8"/>
    </row>
    <row r="27" customFormat="false" ht="15" hidden="false" customHeight="false" outlineLevel="0" collapsed="false">
      <c r="A27" s="6"/>
      <c r="B27" s="6" t="n">
        <v>4</v>
      </c>
      <c r="C27" s="6" t="s">
        <v>169</v>
      </c>
      <c r="D27" s="6" t="s">
        <v>174</v>
      </c>
      <c r="E27" s="6" t="s">
        <v>173</v>
      </c>
      <c r="F27" s="8"/>
    </row>
    <row r="28" customFormat="false" ht="26.85" hidden="false" customHeight="false" outlineLevel="0" collapsed="false">
      <c r="A28" s="6"/>
      <c r="B28" s="6" t="n">
        <v>5</v>
      </c>
      <c r="C28" s="6" t="s">
        <v>161</v>
      </c>
      <c r="D28" s="6" t="s">
        <v>172</v>
      </c>
      <c r="E28" s="6" t="s">
        <v>171</v>
      </c>
      <c r="F28" s="8"/>
    </row>
    <row r="30" customFormat="false" ht="15" hidden="false" customHeight="false" outlineLevel="0" collapsed="false">
      <c r="A30" s="17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177</v>
      </c>
    </row>
    <row r="2" customFormat="false" ht="48" hidden="false" customHeight="true" outlineLevel="0" collapsed="false">
      <c r="A2" s="2" t="s">
        <v>178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4" t="s">
        <v>179</v>
      </c>
      <c r="B4" s="14" t="s">
        <v>180</v>
      </c>
      <c r="C4" s="14" t="s">
        <v>181</v>
      </c>
      <c r="D4" s="14" t="s">
        <v>182</v>
      </c>
      <c r="E4" s="14" t="s">
        <v>183</v>
      </c>
    </row>
    <row r="5" customFormat="false" ht="15" hidden="false" customHeight="false" outlineLevel="0" collapsed="false">
      <c r="A5" s="6" t="s">
        <v>184</v>
      </c>
      <c r="B5" s="6" t="s">
        <v>185</v>
      </c>
      <c r="C5" s="6" t="s">
        <v>186</v>
      </c>
      <c r="D5" s="6" t="s">
        <v>187</v>
      </c>
      <c r="E5" s="8" t="s">
        <v>188</v>
      </c>
    </row>
    <row r="6" customFormat="false" ht="15" hidden="false" customHeight="false" outlineLevel="0" collapsed="false">
      <c r="A6" s="6" t="s">
        <v>189</v>
      </c>
      <c r="B6" s="6" t="s">
        <v>190</v>
      </c>
      <c r="C6" s="6" t="s">
        <v>186</v>
      </c>
      <c r="D6" s="6" t="s">
        <v>191</v>
      </c>
      <c r="E6" s="8" t="s">
        <v>188</v>
      </c>
    </row>
    <row r="7" customFormat="false" ht="26.85" hidden="false" customHeight="false" outlineLevel="0" collapsed="false">
      <c r="A7" s="6" t="s">
        <v>192</v>
      </c>
      <c r="B7" s="6" t="s">
        <v>193</v>
      </c>
      <c r="C7" s="6" t="s">
        <v>194</v>
      </c>
      <c r="D7" s="6" t="s">
        <v>195</v>
      </c>
      <c r="E7" s="8" t="s">
        <v>188</v>
      </c>
    </row>
    <row r="8" customFormat="false" ht="15" hidden="false" customHeight="false" outlineLevel="0" collapsed="false">
      <c r="A8" s="6" t="s">
        <v>196</v>
      </c>
      <c r="B8" s="6" t="s">
        <v>197</v>
      </c>
      <c r="C8" s="6" t="s">
        <v>198</v>
      </c>
      <c r="D8" s="6" t="s">
        <v>199</v>
      </c>
      <c r="E8" s="8" t="s">
        <v>188</v>
      </c>
    </row>
    <row r="9" customFormat="false" ht="15" hidden="false" customHeight="false" outlineLevel="0" collapsed="false">
      <c r="A9" s="6" t="s">
        <v>200</v>
      </c>
      <c r="B9" s="6" t="s">
        <v>201</v>
      </c>
      <c r="C9" s="6" t="s">
        <v>186</v>
      </c>
      <c r="D9" s="6" t="s">
        <v>202</v>
      </c>
      <c r="E9" s="8" t="s">
        <v>188</v>
      </c>
    </row>
    <row r="10" customFormat="false" ht="26.85" hidden="false" customHeight="false" outlineLevel="0" collapsed="false">
      <c r="A10" s="6" t="s">
        <v>203</v>
      </c>
      <c r="B10" s="6" t="s">
        <v>204</v>
      </c>
      <c r="C10" s="6" t="s">
        <v>186</v>
      </c>
      <c r="D10" s="6" t="s">
        <v>205</v>
      </c>
      <c r="E10" s="8" t="s">
        <v>188</v>
      </c>
    </row>
    <row r="11" customFormat="false" ht="26.85" hidden="false" customHeight="false" outlineLevel="0" collapsed="false">
      <c r="A11" s="6" t="s">
        <v>206</v>
      </c>
      <c r="B11" s="6" t="s">
        <v>207</v>
      </c>
      <c r="C11" s="6" t="s">
        <v>208</v>
      </c>
      <c r="D11" s="6" t="s">
        <v>209</v>
      </c>
      <c r="E11" s="8" t="s">
        <v>188</v>
      </c>
    </row>
    <row r="12" customFormat="false" ht="26.85" hidden="false" customHeight="false" outlineLevel="0" collapsed="false">
      <c r="A12" s="6" t="s">
        <v>210</v>
      </c>
      <c r="B12" s="6" t="s">
        <v>211</v>
      </c>
      <c r="C12" s="6" t="s">
        <v>186</v>
      </c>
      <c r="D12" s="6" t="s">
        <v>212</v>
      </c>
      <c r="E12" s="8" t="s">
        <v>188</v>
      </c>
    </row>
    <row r="13" customFormat="false" ht="15" hidden="false" customHeight="false" outlineLevel="0" collapsed="false">
      <c r="A13" s="6" t="s">
        <v>213</v>
      </c>
      <c r="B13" s="6" t="s">
        <v>214</v>
      </c>
      <c r="C13" s="6" t="s">
        <v>194</v>
      </c>
      <c r="D13" s="6" t="s">
        <v>215</v>
      </c>
      <c r="E13" s="8" t="s">
        <v>188</v>
      </c>
    </row>
    <row r="14" customFormat="false" ht="15" hidden="false" customHeight="false" outlineLevel="0" collapsed="false">
      <c r="A14" s="6" t="s">
        <v>216</v>
      </c>
      <c r="B14" s="6" t="s">
        <v>217</v>
      </c>
      <c r="C14" s="6" t="s">
        <v>194</v>
      </c>
      <c r="D14" s="6" t="s">
        <v>218</v>
      </c>
      <c r="E14" s="8" t="s">
        <v>188</v>
      </c>
    </row>
    <row r="15" customFormat="false" ht="26.85" hidden="false" customHeight="false" outlineLevel="0" collapsed="false">
      <c r="A15" s="6" t="s">
        <v>219</v>
      </c>
      <c r="B15" s="6" t="s">
        <v>220</v>
      </c>
      <c r="C15" s="6" t="s">
        <v>221</v>
      </c>
      <c r="D15" s="6" t="s">
        <v>222</v>
      </c>
      <c r="E15" s="8" t="s">
        <v>188</v>
      </c>
    </row>
    <row r="16" customFormat="false" ht="15" hidden="false" customHeight="false" outlineLevel="0" collapsed="false">
      <c r="A16" s="6" t="s">
        <v>223</v>
      </c>
      <c r="B16" s="6" t="s">
        <v>224</v>
      </c>
      <c r="C16" s="6" t="s">
        <v>186</v>
      </c>
      <c r="D16" s="6" t="s">
        <v>225</v>
      </c>
      <c r="E16" s="8" t="s">
        <v>188</v>
      </c>
    </row>
    <row r="17" customFormat="false" ht="15" hidden="false" customHeight="false" outlineLevel="0" collapsed="false">
      <c r="A17" s="6" t="s">
        <v>226</v>
      </c>
      <c r="B17" s="6" t="s">
        <v>227</v>
      </c>
      <c r="C17" s="6" t="s">
        <v>186</v>
      </c>
      <c r="D17" s="6" t="s">
        <v>228</v>
      </c>
      <c r="E17" s="8" t="s">
        <v>188</v>
      </c>
    </row>
    <row r="18" customFormat="false" ht="26.85" hidden="false" customHeight="false" outlineLevel="0" collapsed="false">
      <c r="A18" s="6" t="s">
        <v>229</v>
      </c>
      <c r="B18" s="6" t="s">
        <v>230</v>
      </c>
      <c r="C18" s="6" t="s">
        <v>231</v>
      </c>
      <c r="D18" s="6" t="s">
        <v>232</v>
      </c>
      <c r="E18" s="8" t="s">
        <v>188</v>
      </c>
    </row>
    <row r="20" customFormat="false" ht="15" hidden="false" customHeight="false" outlineLevel="0" collapsed="false">
      <c r="A20" s="17" t="s">
        <v>233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2026-10-12T18:55:42Z</dcterms:created>
  <dc:creator>openpyxl</dc:creator>
  <dc:description/>
  <dc:language>en-US</dc:language>
  <cp:lastModifiedBy/>
  <dcterms:modified xsi:type="dcterms:W3CDTF">2026-10-12T18:55:42Z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